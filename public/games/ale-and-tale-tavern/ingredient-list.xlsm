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Chelsea\Achievement-Vault\games\ale-and-tale-tavern\"/>
    </mc:Choice>
  </mc:AlternateContent>
  <xr:revisionPtr revIDLastSave="0" documentId="13_ncr:1_{8EB46C60-84DD-4FB2-B2A3-0F20EE1E4703}" xr6:coauthVersionLast="47" xr6:coauthVersionMax="47" xr10:uidLastSave="{00000000-0000-0000-0000-000000000000}"/>
  <bookViews>
    <workbookView minimized="1" xWindow="-24150" yWindow="615" windowWidth="21600" windowHeight="13830" xr2:uid="{55B33AAE-0689-4170-ADAF-73B7DFA81677}"/>
  </bookViews>
  <sheets>
    <sheet name="Recipes" sheetId="1" r:id="rId1"/>
    <sheet name="Po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2" l="1" a="1"/>
  <c r="D5" i="2" s="1"/>
  <c r="D6" i="2" a="1"/>
  <c r="D6" i="2"/>
  <c r="D7" i="2" a="1"/>
  <c r="D7" i="2" s="1"/>
  <c r="D8" i="2" a="1"/>
  <c r="D8" i="2" s="1"/>
  <c r="D9" i="2" a="1"/>
  <c r="D9" i="2" s="1"/>
  <c r="D10" i="2" a="1"/>
  <c r="D10" i="2"/>
  <c r="D11" i="2" a="1"/>
  <c r="D11" i="2" s="1"/>
  <c r="D12" i="2" a="1"/>
  <c r="D12" i="2"/>
  <c r="D13" i="2" a="1"/>
  <c r="D13" i="2"/>
  <c r="D14" i="2" a="1"/>
  <c r="D14" i="2" s="1"/>
  <c r="D15" i="2" a="1"/>
  <c r="D15" i="2" s="1"/>
  <c r="D16" i="2" a="1"/>
  <c r="D16" i="2"/>
  <c r="D17" i="2" a="1"/>
  <c r="D17" i="2" s="1"/>
  <c r="D3" i="2" a="1"/>
  <c r="D3" i="2" s="1"/>
  <c r="D4" i="2" a="1"/>
  <c r="D4" i="2" s="1"/>
  <c r="L18" i="2"/>
  <c r="K18" i="2"/>
  <c r="J18" i="2"/>
  <c r="I18" i="2"/>
  <c r="H18" i="2"/>
  <c r="F18" i="2"/>
  <c r="E1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<sst xmlns="http://schemas.openxmlformats.org/spreadsheetml/2006/main" count="1423" uniqueCount="172">
  <si>
    <t>Boiled</t>
  </si>
  <si>
    <t>Crab salad</t>
  </si>
  <si>
    <t>Mushroom soup</t>
  </si>
  <si>
    <t>Fried</t>
  </si>
  <si>
    <t>Drink</t>
  </si>
  <si>
    <t>Barley porridge</t>
  </si>
  <si>
    <t>Type</t>
  </si>
  <si>
    <t>Level</t>
  </si>
  <si>
    <t>Boiled corn</t>
  </si>
  <si>
    <t>Fried toad legs</t>
  </si>
  <si>
    <t>Cupcake</t>
  </si>
  <si>
    <t>Barley cake</t>
  </si>
  <si>
    <t>Trout soup</t>
  </si>
  <si>
    <t>Crucian soup</t>
  </si>
  <si>
    <t>Fried crucian</t>
  </si>
  <si>
    <t>Fried pig ribs</t>
  </si>
  <si>
    <t>Chicken soup</t>
  </si>
  <si>
    <t>Fried trout</t>
  </si>
  <si>
    <t>Fried eggs</t>
  </si>
  <si>
    <t>Meat plate</t>
  </si>
  <si>
    <t>Eggy bread</t>
  </si>
  <si>
    <t>Fried chicken wings</t>
  </si>
  <si>
    <t>Fried egg with mushrooms</t>
  </si>
  <si>
    <t>Toad Soup</t>
  </si>
  <si>
    <t>Sweet Popcorn</t>
  </si>
  <si>
    <t>Whole Roast Suckling Pig</t>
  </si>
  <si>
    <t>Baked</t>
  </si>
  <si>
    <t>Name</t>
  </si>
  <si>
    <t>Description</t>
  </si>
  <si>
    <t>Ingredients</t>
  </si>
  <si>
    <t>Sell</t>
  </si>
  <si>
    <t>Big health increase potion</t>
  </si>
  <si>
    <t>Increases your maximum health</t>
  </si>
  <si>
    <t>Big health potion</t>
  </si>
  <si>
    <t>Restores 50 health points</t>
  </si>
  <si>
    <t>Feather potion</t>
  </si>
  <si>
    <t>Grindstone</t>
  </si>
  <si>
    <t>Move it to a tool to repair it</t>
  </si>
  <si>
    <t>Light potion</t>
  </si>
  <si>
    <t>Regeneration potion</t>
  </si>
  <si>
    <t>Regenerates health over time</t>
  </si>
  <si>
    <t>Resist physical potion</t>
  </si>
  <si>
    <t>Gives resist to physical attacks</t>
  </si>
  <si>
    <t>Resist poison potion</t>
  </si>
  <si>
    <t>Gives 60 seconds resist to poison</t>
  </si>
  <si>
    <t>Resurrection stone</t>
  </si>
  <si>
    <t>Can be used to resurrect a friend or yourself</t>
  </si>
  <si>
    <t>Size potion</t>
  </si>
  <si>
    <t>Small health increase potion</t>
  </si>
  <si>
    <t>Small health potion</t>
  </si>
  <si>
    <t>Restores 25 health points</t>
  </si>
  <si>
    <t>Speed potion</t>
  </si>
  <si>
    <t>Increases your movement speed</t>
  </si>
  <si>
    <t>Teleportation potion</t>
  </si>
  <si>
    <t>Teleports you to the tavern entrance</t>
  </si>
  <si>
    <t>Wormhole potion</t>
  </si>
  <si>
    <t>Teleports you to a random place</t>
  </si>
  <si>
    <t>Turtle shell</t>
  </si>
  <si>
    <t>Venom gland</t>
  </si>
  <si>
    <t>Hound claw</t>
  </si>
  <si>
    <t>Puffer fish</t>
  </si>
  <si>
    <t>Amanita mushroom </t>
  </si>
  <si>
    <t>Ghoul eye</t>
  </si>
  <si>
    <t>Bear liver</t>
  </si>
  <si>
    <t>Wolf fang</t>
  </si>
  <si>
    <t>A quick way to lose weight (60 sec)</t>
  </si>
  <si>
    <t>Changes your size (60 sec)</t>
  </si>
  <si>
    <t>Total</t>
  </si>
  <si>
    <t>A personal ray of light in darkness (120 sec)</t>
  </si>
  <si>
    <t>Apple</t>
  </si>
  <si>
    <t>Azure mushroom</t>
  </si>
  <si>
    <t>Barley</t>
  </si>
  <si>
    <t>Barley wash</t>
  </si>
  <si>
    <t>Barley wort</t>
  </si>
  <si>
    <t>Carrot</t>
  </si>
  <si>
    <t>Chicken breast</t>
  </si>
  <si>
    <t>Corn</t>
  </si>
  <si>
    <t>Corn wash</t>
  </si>
  <si>
    <t>Corn wort</t>
  </si>
  <si>
    <t>Crab meat</t>
  </si>
  <si>
    <t>Egg</t>
  </si>
  <si>
    <t>Emerald mushroom</t>
  </si>
  <si>
    <t>Fresh crucian</t>
  </si>
  <si>
    <t>Fresh trout</t>
  </si>
  <si>
    <t>Grape</t>
  </si>
  <si>
    <t>Honey</t>
  </si>
  <si>
    <t>Hop</t>
  </si>
  <si>
    <t>Potato</t>
  </si>
  <si>
    <t>Raw boar pork</t>
  </si>
  <si>
    <t>Raw pork</t>
  </si>
  <si>
    <t>Raw ribs</t>
  </si>
  <si>
    <t>Toad leg</t>
  </si>
  <si>
    <t>Water bucket</t>
  </si>
  <si>
    <t>White mushroom</t>
  </si>
  <si>
    <t>Ale barrel</t>
  </si>
  <si>
    <t>Ale mug</t>
  </si>
  <si>
    <t>Apple juice barrel</t>
  </si>
  <si>
    <t>Menu Price</t>
  </si>
  <si>
    <t>XP</t>
  </si>
  <si>
    <t>Apple juice mug</t>
  </si>
  <si>
    <t>Apple pie</t>
  </si>
  <si>
    <t>Barley bread</t>
  </si>
  <si>
    <t>Beer barrel</t>
  </si>
  <si>
    <t>Beer mug</t>
  </si>
  <si>
    <t>Boiled chicken eggs</t>
  </si>
  <si>
    <t>Bourbon barrel</t>
  </si>
  <si>
    <t>Bourbon mug</t>
  </si>
  <si>
    <t>Carrot juice barrel</t>
  </si>
  <si>
    <t>Carrot juice mug</t>
  </si>
  <si>
    <t>Cider barrel</t>
  </si>
  <si>
    <t>Cider mug</t>
  </si>
  <si>
    <t>Fried boar steak</t>
  </si>
  <si>
    <t>Fried chicken</t>
  </si>
  <si>
    <t>Fried pig steak</t>
  </si>
  <si>
    <t>Fried potatoes</t>
  </si>
  <si>
    <t>Grape juice barrel</t>
  </si>
  <si>
    <t>Grape juice mug</t>
  </si>
  <si>
    <t>Potatoes with mushrooms</t>
  </si>
  <si>
    <t>Whiskey barrel</t>
  </si>
  <si>
    <t>Whiskey mug</t>
  </si>
  <si>
    <t>Wine barrel</t>
  </si>
  <si>
    <t>Wine mug</t>
  </si>
  <si>
    <t>x</t>
  </si>
  <si>
    <t/>
  </si>
  <si>
    <t>Ale barrel x 1</t>
  </si>
  <si>
    <t>Azure mushroom x 1, Emerald mushroom x 1, Water bucket x 1</t>
  </si>
  <si>
    <t>Azure mushroom x 1, Potato x 1, White mushroom x 1</t>
  </si>
  <si>
    <t>Azure mushroom x 1, Raw ribs x 1</t>
  </si>
  <si>
    <t>Barley x 1, Corn x 1, Water bucket x 1</t>
  </si>
  <si>
    <t>Barley x 1, Water bucket x 1</t>
  </si>
  <si>
    <t>Beer barrel x 1</t>
  </si>
  <si>
    <t>Bourbon barrel x 1</t>
  </si>
  <si>
    <t>Carrot x 1, Chicken breast x 1, Water bucket x 1</t>
  </si>
  <si>
    <t>Carrot x 1, Fresh trout x 1, Water bucket x 1</t>
  </si>
  <si>
    <t>Chicken breast x 1, Emerald mushroom x 1</t>
  </si>
  <si>
    <t>Cider barrel x 1</t>
  </si>
  <si>
    <t>Corn x 1, Crab meat x 1, Egg x 1</t>
  </si>
  <si>
    <t>Egg x 1, Water bucket x 1</t>
  </si>
  <si>
    <t>Fresh crucian x 1</t>
  </si>
  <si>
    <t>Fresh crucian x 1, Potato x 1, Water bucket x 1</t>
  </si>
  <si>
    <t>Fresh trout x 1</t>
  </si>
  <si>
    <t>Raw boar pork x 1</t>
  </si>
  <si>
    <t>Raw pork x 1, White mushroom x 1</t>
  </si>
  <si>
    <t>Whiskey barrel x 1</t>
  </si>
  <si>
    <t>Wine barrel x 1</t>
  </si>
  <si>
    <t>Egg x 3, Barley bread x 1</t>
  </si>
  <si>
    <t>Chicken breast x 1, Honey x 2</t>
  </si>
  <si>
    <t>Egg x 2, White mushroom x 2</t>
  </si>
  <si>
    <t>Egg x 2</t>
  </si>
  <si>
    <t>Chicken breast x 1, Raw boar pork x 1, Raw pork x 1</t>
  </si>
  <si>
    <t>Corn x 1, Honey x 1</t>
  </si>
  <si>
    <t>Carrot x 1, Toad leg x 1, Water bucket x 1</t>
  </si>
  <si>
    <t>Apple x 1, Raw pork x 1, Raw ribs x 1</t>
  </si>
  <si>
    <t>Barley wort x 1, Water bucket x 5</t>
  </si>
  <si>
    <t>Barley x 10, Water bucket x 5</t>
  </si>
  <si>
    <t>Corn wort x 1, Water bucket x 5</t>
  </si>
  <si>
    <t>Corn x 10, Water bucket x 5</t>
  </si>
  <si>
    <t>Apple x 10</t>
  </si>
  <si>
    <t>Apple juice barrel x 1</t>
  </si>
  <si>
    <t>Apple x 2, Barley x 2, Egg x 2, Honey x 1, Water bucket x 1</t>
  </si>
  <si>
    <t>Barley x 3, Water bucket x 1</t>
  </si>
  <si>
    <t>Barley wort x 1, Hop x 5, Water bucket x 5</t>
  </si>
  <si>
    <t>Corn x 2, Water bucket x 1</t>
  </si>
  <si>
    <t>Corn wash x 1</t>
  </si>
  <si>
    <t>Carrot x 10</t>
  </si>
  <si>
    <t>Carrot juice barrel x 1</t>
  </si>
  <si>
    <t>Barley x 2, Egg x 2, Honey x 1, Water bucket x 1</t>
  </si>
  <si>
    <t>Potato x 2</t>
  </si>
  <si>
    <t>Toad leg x 2</t>
  </si>
  <si>
    <t>Grape x 10</t>
  </si>
  <si>
    <t>Grape juice barrel x 1</t>
  </si>
  <si>
    <t>Barley wash x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</si>
</sst>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IBM Plex Sans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65"/>
    </xf>
    <xf numFmtId="1" fontId="1" fillId="0" borderId="0" xfId="0" applyNumberFormat="1" applyFont="1"/>
    <xf numFmtId="0" fontId="0" fillId="0" borderId="0" xfId="0" applyAlignment="1">
      <alignment textRotation="67"/>
    </xf>
    <xf numFmtId="0" fontId="1" fillId="0" borderId="0" xfId="0" applyFont="1" applyAlignment="1">
      <alignment textRotation="67"/>
    </xf>
    <xf numFmtId="0" fontId="0" fillId="2" borderId="0" xfId="0" applyFill="1"/>
  </cellXfs>
  <cellStyles count="1">
    <cellStyle name="Normal" xfId="0" builtinId="0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alignment horizontal="general" vertical="bottom" textRotation="65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alignment horizontal="general" vertical="bottom" textRotation="45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0</xdr:row>
          <xdr:rowOff>400050</xdr:rowOff>
        </xdr:from>
        <xdr:to>
          <xdr:col>3</xdr:col>
          <xdr:colOff>1971675</xdr:colOff>
          <xdr:row>0</xdr:row>
          <xdr:rowOff>638175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Ingredients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FAB634-54E7-4F21-95D8-2C71F13E978C}" name="Tbl_Recipes" displayName="Tbl_Recipes" ref="A1:AO52" totalsRowShown="0" headerRowDxfId="61" dataDxfId="60">
  <autoFilter ref="A1:AO52" xr:uid="{84FAB634-54E7-4F21-95D8-2C71F13E978C}"/>
  <sortState xmlns:xlrd2="http://schemas.microsoft.com/office/spreadsheetml/2017/richdata2" ref="A2:AO52">
    <sortCondition ref="C2:C52"/>
  </sortState>
  <tableColumns count="41">
    <tableColumn id="1" xr3:uid="{2374A724-F795-4D9F-AEB5-C02BCB7F9183}" name="Type" dataDxfId="59"/>
    <tableColumn id="2" xr3:uid="{2C571245-AA5F-4967-BDB9-1C77216BE567}" name="Level" dataDxfId="58"/>
    <tableColumn id="3" xr3:uid="{720010AE-BF97-4FBE-94DB-0367EF53D254}" name="Name" dataDxfId="57"/>
    <tableColumn id="32" xr3:uid="{AA11EB12-22F3-49BD-92A0-85026062AB0A}" name="Ingredients" dataDxfId="56">
      <calculatedColumnFormula array="1">_xlfn.TEXTJOIN(", ", TRUE, _xlfn._xlws.FILTER(G$1:AO$1, G2:AO2&lt;&gt;""))</calculatedColumnFormula>
    </tableColumn>
    <tableColumn id="29" xr3:uid="{5B63BCF8-F070-4168-8289-DBD6D0151C21}" name="Menu Price" dataDxfId="55"/>
    <tableColumn id="30" xr3:uid="{17FCEF99-E365-4EB0-BF46-91E277C39A52}" name="XP" dataDxfId="54"/>
    <tableColumn id="4" xr3:uid="{F6B8BEA7-9D31-4B90-ACDE-B7B930FC58A3}" name="Apple" dataDxfId="53"/>
    <tableColumn id="5" xr3:uid="{40278C88-7ACA-4FA8-B9B1-C96B9D94BF63}" name="Azure mushroom" dataDxfId="52"/>
    <tableColumn id="6" xr3:uid="{B61EB79A-1D8C-40F8-BE54-0D3C197C31B0}" name="Barley" dataDxfId="51"/>
    <tableColumn id="7" xr3:uid="{CFD2240D-B3EF-4593-89E5-BD27B1863A74}" name="Barley wash" dataDxfId="50"/>
    <tableColumn id="8" xr3:uid="{4454093A-7F9F-4464-9173-3311D623A6D0}" name="Barley wort" dataDxfId="49"/>
    <tableColumn id="9" xr3:uid="{657804A1-0142-413A-AAA8-A874F399D8CF}" name="Carrot" dataDxfId="48"/>
    <tableColumn id="10" xr3:uid="{B702E644-8A64-4360-8341-E85CBD71E20F}" name="Chicken breast" dataDxfId="47"/>
    <tableColumn id="11" xr3:uid="{0E4F68CF-22B0-4C0B-8AB2-CE8D80DBBCC9}" name="Corn" dataDxfId="46"/>
    <tableColumn id="12" xr3:uid="{A1FCF457-3AC2-4097-8FD0-86DAE14EBAAE}" name="Corn wash" dataDxfId="45"/>
    <tableColumn id="13" xr3:uid="{45C0F6D3-41E8-4565-88BA-03C336E912AA}" name="Corn wort" dataDxfId="44"/>
    <tableColumn id="14" xr3:uid="{A8712F1E-10B0-49E2-A38A-5A49FCF845D7}" name="Crab meat" dataDxfId="43"/>
    <tableColumn id="15" xr3:uid="{224E3462-CB63-49D9-9D03-B5FBDB27837B}" name="Egg" dataDxfId="42"/>
    <tableColumn id="16" xr3:uid="{6DE8FF6E-2F7B-4706-A259-05609AD688D4}" name="Emerald mushroom" dataDxfId="41"/>
    <tableColumn id="17" xr3:uid="{6997F562-7157-4320-A2FB-475C1ABA705F}" name="Fresh crucian" dataDxfId="40"/>
    <tableColumn id="18" xr3:uid="{BAFC7E04-F9D7-4951-9FAB-94C5E5EFAC25}" name="Fresh trout" dataDxfId="39"/>
    <tableColumn id="19" xr3:uid="{13E20DEF-68D8-44F9-80C1-66BF48005661}" name="Grape" dataDxfId="38"/>
    <tableColumn id="20" xr3:uid="{8B1D08C5-0B47-4F69-B747-028B276AA855}" name="Honey" dataDxfId="37"/>
    <tableColumn id="21" xr3:uid="{56487F9E-FF75-4B08-A66D-1D67A984A21D}" name="Hop" dataDxfId="36"/>
    <tableColumn id="22" xr3:uid="{DAA04896-6772-4D6E-8638-4D9CC789D248}" name="Potato" dataDxfId="35"/>
    <tableColumn id="23" xr3:uid="{EDF634B7-69DC-4572-9F18-1E5F05FFBFBF}" name="Raw boar pork" dataDxfId="34"/>
    <tableColumn id="24" xr3:uid="{9DBD5C8E-8032-4405-B90E-8279A08E03A4}" name="Raw pork" dataDxfId="33"/>
    <tableColumn id="25" xr3:uid="{E5B6F26D-3E7F-41A9-BAF2-5C459558865A}" name="Raw ribs" dataDxfId="32"/>
    <tableColumn id="26" xr3:uid="{BCF19C33-0076-417C-9413-578714826CB0}" name="Toad leg" dataDxfId="31"/>
    <tableColumn id="27" xr3:uid="{D207353E-62FC-42F7-A40A-A294F93E56B2}" name="Water bucket" dataDxfId="30"/>
    <tableColumn id="28" xr3:uid="{BE258743-97D7-4836-A36C-181A84A03F5B}" name="White mushroom" dataDxfId="29"/>
    <tableColumn id="33" xr3:uid="{910E08E7-F984-4C3A-AF80-32E9CA5661ED}" name="Ale barrel" dataDxfId="28"/>
    <tableColumn id="34" xr3:uid="{17626225-4223-4B37-9232-B69FB69B3862}" name="Apple juice barrel" dataDxfId="27"/>
    <tableColumn id="35" xr3:uid="{27CE59EA-96F5-40C2-9449-B221E5182E53}" name="Beer barrel" dataDxfId="26"/>
    <tableColumn id="36" xr3:uid="{8E98159F-7874-4B50-AF7D-1CC3F44EACF9}" name="Bourbon barrel" dataDxfId="25"/>
    <tableColumn id="37" xr3:uid="{E2E76C2F-9C6F-4FE3-9246-DB376ED86CF8}" name="Carrot juice barrel" dataDxfId="24"/>
    <tableColumn id="38" xr3:uid="{AB11B050-0FB8-4607-92E8-1E77358A0514}" name="Cider barrel" dataDxfId="23"/>
    <tableColumn id="39" xr3:uid="{BD4354B9-9673-4595-B313-9F70CCE261A4}" name="Grape juice barrel" dataDxfId="22"/>
    <tableColumn id="40" xr3:uid="{3AB37D45-2DEB-41E7-ABDF-6A6CC49D14B6}" name="Whiskey barrel" dataDxfId="21"/>
    <tableColumn id="41" xr3:uid="{2585208C-EB8F-44CE-9717-562585485443}" name="Wine barrel" dataDxfId="20"/>
    <tableColumn id="42" xr3:uid="{231AD465-D41F-472A-909E-85BC31B22CE4}" name="Barley bread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1D2CEC-9B07-4F3D-B670-6B097811D1DA}" name="Tbl_Potions" displayName="Tbl_Potions" ref="B2:M18" totalsRowCount="1" headerRowDxfId="18" dataDxfId="17">
  <autoFilter ref="B2:M17" xr:uid="{911D2CEC-9B07-4F3D-B670-6B097811D1DA}"/>
  <tableColumns count="12">
    <tableColumn id="1" xr3:uid="{61376FFC-B234-4CB7-B0E7-10D7C9AAE03B}" name="Name" totalsRowLabel="Total"/>
    <tableColumn id="2" xr3:uid="{4C7FD9CB-348D-4250-A7EA-DC93FF7DCABE}" name="Description"/>
    <tableColumn id="12" xr3:uid="{715508BA-21BF-4CF3-97FB-CD052772F02C}" name="Ingredients" dataDxfId="16">
      <calculatedColumnFormula array="1">_xlfn.TEXTJOIN(", ", TRUE, _xlfn._xlws.FILTER(E$2:L$2, E3:L3&lt;&gt;""))</calculatedColumnFormula>
    </tableColumn>
    <tableColumn id="3" xr3:uid="{34082EC0-6415-499C-9DAA-72D4E8118695}" name="Amanita mushroom " totalsRowFunction="sum" dataDxfId="15" totalsRowDxfId="14"/>
    <tableColumn id="4" xr3:uid="{EF63FE7C-C066-47B9-9B57-35798B81B76F}" name="Bear liver" totalsRowFunction="sum" dataDxfId="13" totalsRowDxfId="12"/>
    <tableColumn id="10" xr3:uid="{3A15C877-C0E0-4960-81A7-5209F7329170}" name="Ghoul eye" dataDxfId="11" totalsRowDxfId="10"/>
    <tableColumn id="5" xr3:uid="{3EDA1830-83DC-4A3D-A1B1-19E10DF71D91}" name="Hound claw" totalsRowFunction="sum" dataDxfId="9" totalsRowDxfId="8"/>
    <tableColumn id="6" xr3:uid="{8B1419D6-B712-4371-AC27-E993BAC7DB0F}" name="Puffer fish" totalsRowFunction="sum" dataDxfId="7" totalsRowDxfId="6"/>
    <tableColumn id="7" xr3:uid="{045C6E49-F5E3-4196-AC38-457FC4870440}" name="Turtle shell" totalsRowFunction="sum" dataDxfId="5" totalsRowDxfId="4"/>
    <tableColumn id="8" xr3:uid="{0FEA8F7C-297E-4976-BEAB-035B519229BC}" name="Venom gland" totalsRowFunction="sum" dataDxfId="3" totalsRowDxfId="2"/>
    <tableColumn id="11" xr3:uid="{93DC0635-7BFD-4798-B85E-6EC86DC9DFF7}" name="Wolf fang" totalsRowFunction="sum" dataDxfId="1" totalsRowDxfId="0"/>
    <tableColumn id="9" xr3:uid="{7CC848DF-FDE8-4C60-9627-BDAF8EBED9A8}" name="S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Violet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5506-45C7-473F-BBC3-5796BB240FA4}">
  <sheetPr codeName="Sheet1"/>
  <dimension ref="A1:AO52"/>
  <sheetViews>
    <sheetView tabSelected="1" workbookViewId="0">
      <pane xSplit="3" ySplit="1" topLeftCell="D39" activePane="bottomRight" state="frozen"/>
      <selection pane="topRight" activeCell="D1" sqref="D1"/>
      <selection pane="bottomLeft" activeCell="A2" sqref="A2"/>
      <selection pane="bottomRight" activeCell="D53" sqref="D53"/>
    </sheetView>
  </sheetViews>
  <sheetFormatPr defaultRowHeight="15" x14ac:dyDescent="0.25"/>
  <cols>
    <col min="1" max="2" width="9.140625" style="1"/>
    <col min="3" max="3" width="27.5703125" style="1" customWidth="1"/>
    <col min="4" max="4" width="46.7109375" style="1" customWidth="1"/>
    <col min="5" max="6" width="12" style="1" customWidth="1"/>
    <col min="7" max="31" width="6.42578125" style="1" bestFit="1" customWidth="1"/>
    <col min="32" max="41" width="6.7109375" style="1" bestFit="1" customWidth="1"/>
    <col min="42" max="16384" width="9.140625" style="1"/>
  </cols>
  <sheetData>
    <row r="1" spans="1:41" ht="100.5" x14ac:dyDescent="0.25">
      <c r="A1" s="1" t="s">
        <v>6</v>
      </c>
      <c r="B1" s="1" t="s">
        <v>7</v>
      </c>
      <c r="C1" s="1" t="s">
        <v>27</v>
      </c>
      <c r="D1" s="1" t="s">
        <v>29</v>
      </c>
      <c r="E1" s="1" t="s">
        <v>97</v>
      </c>
      <c r="F1" s="1" t="s">
        <v>98</v>
      </c>
      <c r="G1" s="4" t="s">
        <v>69</v>
      </c>
      <c r="H1" s="4" t="s">
        <v>70</v>
      </c>
      <c r="I1" s="4" t="s">
        <v>71</v>
      </c>
      <c r="J1" s="4" t="s">
        <v>72</v>
      </c>
      <c r="K1" s="4" t="s">
        <v>73</v>
      </c>
      <c r="L1" s="4" t="s">
        <v>74</v>
      </c>
      <c r="M1" s="4" t="s">
        <v>75</v>
      </c>
      <c r="N1" s="4" t="s">
        <v>76</v>
      </c>
      <c r="O1" s="4" t="s">
        <v>77</v>
      </c>
      <c r="P1" s="4" t="s">
        <v>78</v>
      </c>
      <c r="Q1" s="4" t="s">
        <v>79</v>
      </c>
      <c r="R1" s="4" t="s">
        <v>80</v>
      </c>
      <c r="S1" s="4" t="s">
        <v>81</v>
      </c>
      <c r="T1" s="4" t="s">
        <v>82</v>
      </c>
      <c r="U1" s="4" t="s">
        <v>83</v>
      </c>
      <c r="V1" s="4" t="s">
        <v>84</v>
      </c>
      <c r="W1" s="4" t="s">
        <v>85</v>
      </c>
      <c r="X1" s="4" t="s">
        <v>86</v>
      </c>
      <c r="Y1" s="4" t="s">
        <v>87</v>
      </c>
      <c r="Z1" s="4" t="s">
        <v>88</v>
      </c>
      <c r="AA1" s="4" t="s">
        <v>89</v>
      </c>
      <c r="AB1" s="4" t="s">
        <v>90</v>
      </c>
      <c r="AC1" s="4" t="s">
        <v>91</v>
      </c>
      <c r="AD1" s="4" t="s">
        <v>92</v>
      </c>
      <c r="AE1" s="4" t="s">
        <v>93</v>
      </c>
      <c r="AF1" s="5" t="s">
        <v>94</v>
      </c>
      <c r="AG1" s="5" t="s">
        <v>96</v>
      </c>
      <c r="AH1" s="5" t="s">
        <v>102</v>
      </c>
      <c r="AI1" s="5" t="s">
        <v>105</v>
      </c>
      <c r="AJ1" s="5" t="s">
        <v>107</v>
      </c>
      <c r="AK1" s="5" t="s">
        <v>109</v>
      </c>
      <c r="AL1" s="5" t="s">
        <v>115</v>
      </c>
      <c r="AM1" s="5" t="s">
        <v>118</v>
      </c>
      <c r="AN1" s="5" t="s">
        <v>120</v>
      </c>
      <c r="AO1" s="5" t="s">
        <v>101</v>
      </c>
    </row>
    <row r="2" spans="1:41" x14ac:dyDescent="0.25">
      <c r="A2" s="1" t="s">
        <v>4</v>
      </c>
      <c r="B2" s="1">
        <v>0</v>
      </c>
      <c r="C2" s="1" t="s">
        <v>94</v>
      </c>
      <c r="D2" s="1" t="s">
        <v>153</v>
      </c>
      <c r="G2" s="3" t="s">
        <v>123</v>
      </c>
      <c r="H2" s="3" t="s">
        <v>123</v>
      </c>
      <c r="I2" s="3"/>
      <c r="J2" s="3" t="s">
        <v>123</v>
      </c>
      <c r="K2" s="3">
        <v>1</v>
      </c>
      <c r="L2" s="3" t="s">
        <v>123</v>
      </c>
      <c r="M2" s="3" t="s">
        <v>123</v>
      </c>
      <c r="N2" s="3" t="s">
        <v>123</v>
      </c>
      <c r="O2" s="3" t="s">
        <v>123</v>
      </c>
      <c r="P2" s="3" t="s">
        <v>123</v>
      </c>
      <c r="Q2" s="3" t="s">
        <v>123</v>
      </c>
      <c r="R2" s="3" t="s">
        <v>123</v>
      </c>
      <c r="S2" s="3" t="s">
        <v>123</v>
      </c>
      <c r="T2" s="3" t="s">
        <v>123</v>
      </c>
      <c r="U2" s="3" t="s">
        <v>123</v>
      </c>
      <c r="V2" s="3" t="s">
        <v>123</v>
      </c>
      <c r="W2" s="3" t="s">
        <v>123</v>
      </c>
      <c r="X2" s="3" t="s">
        <v>123</v>
      </c>
      <c r="Y2" s="3" t="s">
        <v>123</v>
      </c>
      <c r="Z2" s="3" t="s">
        <v>123</v>
      </c>
      <c r="AA2" s="3" t="s">
        <v>123</v>
      </c>
      <c r="AB2" s="3" t="s">
        <v>123</v>
      </c>
      <c r="AC2" s="3" t="s">
        <v>123</v>
      </c>
      <c r="AD2" s="3">
        <v>5</v>
      </c>
      <c r="AE2" s="3" t="s">
        <v>123</v>
      </c>
      <c r="AF2" s="3"/>
      <c r="AG2" s="3"/>
      <c r="AH2" s="3"/>
      <c r="AI2" s="3"/>
      <c r="AJ2" s="3"/>
      <c r="AK2" s="3"/>
      <c r="AL2" s="3"/>
      <c r="AM2" s="3"/>
      <c r="AN2" s="3"/>
      <c r="AO2" s="3"/>
    </row>
    <row r="3" spans="1:41" x14ac:dyDescent="0.25">
      <c r="A3" s="1" t="s">
        <v>4</v>
      </c>
      <c r="B3" s="1">
        <v>0</v>
      </c>
      <c r="C3" s="1" t="s">
        <v>95</v>
      </c>
      <c r="D3" s="1" t="s">
        <v>124</v>
      </c>
      <c r="E3" s="1">
        <v>22</v>
      </c>
      <c r="F3" s="1">
        <v>20</v>
      </c>
      <c r="G3" s="3" t="s">
        <v>123</v>
      </c>
      <c r="H3" s="3" t="s">
        <v>123</v>
      </c>
      <c r="I3" s="3" t="s">
        <v>123</v>
      </c>
      <c r="J3" s="3" t="s">
        <v>123</v>
      </c>
      <c r="K3" s="3" t="s">
        <v>123</v>
      </c>
      <c r="L3" s="3" t="s">
        <v>123</v>
      </c>
      <c r="M3" s="3" t="s">
        <v>123</v>
      </c>
      <c r="N3" s="3" t="s">
        <v>123</v>
      </c>
      <c r="O3" s="3" t="s">
        <v>123</v>
      </c>
      <c r="P3" s="3" t="s">
        <v>123</v>
      </c>
      <c r="Q3" s="3" t="s">
        <v>123</v>
      </c>
      <c r="R3" s="3" t="s">
        <v>123</v>
      </c>
      <c r="S3" s="3" t="s">
        <v>123</v>
      </c>
      <c r="T3" s="3" t="s">
        <v>123</v>
      </c>
      <c r="U3" s="3" t="s">
        <v>123</v>
      </c>
      <c r="V3" s="3" t="s">
        <v>123</v>
      </c>
      <c r="W3" s="3" t="s">
        <v>123</v>
      </c>
      <c r="X3" s="3" t="s">
        <v>123</v>
      </c>
      <c r="Y3" s="3" t="s">
        <v>123</v>
      </c>
      <c r="Z3" s="3" t="s">
        <v>123</v>
      </c>
      <c r="AA3" s="3" t="s">
        <v>123</v>
      </c>
      <c r="AB3" s="3" t="s">
        <v>123</v>
      </c>
      <c r="AC3" s="3" t="s">
        <v>123</v>
      </c>
      <c r="AD3" s="3" t="s">
        <v>123</v>
      </c>
      <c r="AE3" s="3" t="s">
        <v>123</v>
      </c>
      <c r="AF3" s="3">
        <v>1</v>
      </c>
      <c r="AG3" s="3"/>
      <c r="AH3" s="3"/>
      <c r="AI3" s="3"/>
      <c r="AJ3" s="3"/>
      <c r="AK3" s="3"/>
      <c r="AL3" s="3"/>
      <c r="AM3" s="3"/>
      <c r="AN3" s="3"/>
      <c r="AO3" s="3"/>
    </row>
    <row r="4" spans="1:41" x14ac:dyDescent="0.25">
      <c r="A4" s="1" t="s">
        <v>4</v>
      </c>
      <c r="B4" s="1">
        <v>14</v>
      </c>
      <c r="C4" s="1" t="s">
        <v>96</v>
      </c>
      <c r="D4" s="1" t="s">
        <v>157</v>
      </c>
      <c r="G4" s="3">
        <v>10</v>
      </c>
      <c r="H4" s="3" t="s">
        <v>123</v>
      </c>
      <c r="I4" s="3" t="s">
        <v>123</v>
      </c>
      <c r="J4" s="3" t="s">
        <v>123</v>
      </c>
      <c r="K4" s="3" t="s">
        <v>123</v>
      </c>
      <c r="L4" s="3" t="s">
        <v>123</v>
      </c>
      <c r="M4" s="3" t="s">
        <v>123</v>
      </c>
      <c r="N4" s="3" t="s">
        <v>123</v>
      </c>
      <c r="O4" s="3" t="s">
        <v>123</v>
      </c>
      <c r="P4" s="3" t="s">
        <v>123</v>
      </c>
      <c r="Q4" s="3" t="s">
        <v>123</v>
      </c>
      <c r="R4" s="3" t="s">
        <v>123</v>
      </c>
      <c r="S4" s="3" t="s">
        <v>123</v>
      </c>
      <c r="T4" s="3" t="s">
        <v>123</v>
      </c>
      <c r="U4" s="3" t="s">
        <v>123</v>
      </c>
      <c r="V4" s="3" t="s">
        <v>123</v>
      </c>
      <c r="W4" s="3" t="s">
        <v>123</v>
      </c>
      <c r="X4" s="3" t="s">
        <v>123</v>
      </c>
      <c r="Y4" s="3" t="s">
        <v>123</v>
      </c>
      <c r="Z4" s="3" t="s">
        <v>123</v>
      </c>
      <c r="AA4" s="3" t="s">
        <v>123</v>
      </c>
      <c r="AB4" s="3" t="s">
        <v>123</v>
      </c>
      <c r="AC4" s="3" t="s">
        <v>123</v>
      </c>
      <c r="AD4" s="3" t="s">
        <v>123</v>
      </c>
      <c r="AE4" s="3" t="s">
        <v>123</v>
      </c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x14ac:dyDescent="0.25">
      <c r="A5" s="1" t="s">
        <v>4</v>
      </c>
      <c r="B5" s="1">
        <v>14</v>
      </c>
      <c r="C5" s="1" t="s">
        <v>99</v>
      </c>
      <c r="D5" s="1" t="s">
        <v>158</v>
      </c>
      <c r="E5" s="1">
        <v>60</v>
      </c>
      <c r="F5" s="1">
        <v>280</v>
      </c>
      <c r="G5" s="3"/>
      <c r="H5" s="3" t="s">
        <v>123</v>
      </c>
      <c r="I5" s="3" t="s">
        <v>123</v>
      </c>
      <c r="J5" s="3" t="s">
        <v>123</v>
      </c>
      <c r="K5" s="3" t="s">
        <v>123</v>
      </c>
      <c r="L5" s="3" t="s">
        <v>123</v>
      </c>
      <c r="M5" s="3" t="s">
        <v>123</v>
      </c>
      <c r="N5" s="3" t="s">
        <v>123</v>
      </c>
      <c r="O5" s="3" t="s">
        <v>123</v>
      </c>
      <c r="P5" s="3" t="s">
        <v>123</v>
      </c>
      <c r="Q5" s="3" t="s">
        <v>123</v>
      </c>
      <c r="R5" s="3" t="s">
        <v>123</v>
      </c>
      <c r="S5" s="3" t="s">
        <v>123</v>
      </c>
      <c r="T5" s="3" t="s">
        <v>123</v>
      </c>
      <c r="U5" s="3" t="s">
        <v>123</v>
      </c>
      <c r="V5" s="3" t="s">
        <v>123</v>
      </c>
      <c r="W5" s="3" t="s">
        <v>123</v>
      </c>
      <c r="X5" s="3" t="s">
        <v>123</v>
      </c>
      <c r="Y5" s="3" t="s">
        <v>123</v>
      </c>
      <c r="Z5" s="3" t="s">
        <v>123</v>
      </c>
      <c r="AA5" s="3" t="s">
        <v>123</v>
      </c>
      <c r="AB5" s="3" t="s">
        <v>123</v>
      </c>
      <c r="AC5" s="3" t="s">
        <v>123</v>
      </c>
      <c r="AD5" s="3" t="s">
        <v>123</v>
      </c>
      <c r="AE5" s="3" t="s">
        <v>123</v>
      </c>
      <c r="AF5" s="3"/>
      <c r="AG5" s="3">
        <v>1</v>
      </c>
      <c r="AH5" s="3"/>
      <c r="AI5" s="3"/>
      <c r="AJ5" s="3"/>
      <c r="AK5" s="3"/>
      <c r="AL5" s="3"/>
      <c r="AM5" s="3"/>
      <c r="AN5" s="3"/>
      <c r="AO5" s="3"/>
    </row>
    <row r="6" spans="1:41" x14ac:dyDescent="0.25">
      <c r="A6" s="1" t="s">
        <v>26</v>
      </c>
      <c r="B6" s="1">
        <v>18</v>
      </c>
      <c r="C6" s="1" t="s">
        <v>100</v>
      </c>
      <c r="D6" s="1" t="s">
        <v>159</v>
      </c>
      <c r="E6" s="1">
        <v>255</v>
      </c>
      <c r="F6" s="1">
        <v>360</v>
      </c>
      <c r="G6" s="3">
        <v>2</v>
      </c>
      <c r="H6" s="3" t="s">
        <v>123</v>
      </c>
      <c r="I6" s="3">
        <v>2</v>
      </c>
      <c r="J6" s="3" t="s">
        <v>123</v>
      </c>
      <c r="K6" s="3" t="s">
        <v>123</v>
      </c>
      <c r="L6" s="3" t="s">
        <v>123</v>
      </c>
      <c r="M6" s="3" t="s">
        <v>123</v>
      </c>
      <c r="N6" s="3" t="s">
        <v>123</v>
      </c>
      <c r="O6" s="3" t="s">
        <v>123</v>
      </c>
      <c r="P6" s="3" t="s">
        <v>123</v>
      </c>
      <c r="Q6" s="3" t="s">
        <v>123</v>
      </c>
      <c r="R6" s="3">
        <v>2</v>
      </c>
      <c r="S6" s="3" t="s">
        <v>123</v>
      </c>
      <c r="T6" s="3" t="s">
        <v>123</v>
      </c>
      <c r="U6" s="3" t="s">
        <v>123</v>
      </c>
      <c r="V6" s="3" t="s">
        <v>123</v>
      </c>
      <c r="W6" s="3">
        <v>1</v>
      </c>
      <c r="X6" s="3" t="s">
        <v>123</v>
      </c>
      <c r="Y6" s="3" t="s">
        <v>123</v>
      </c>
      <c r="Z6" s="3" t="s">
        <v>123</v>
      </c>
      <c r="AA6" s="3" t="s">
        <v>123</v>
      </c>
      <c r="AB6" s="3" t="s">
        <v>123</v>
      </c>
      <c r="AC6" s="3" t="s">
        <v>123</v>
      </c>
      <c r="AD6" s="3">
        <v>1</v>
      </c>
      <c r="AE6" s="3" t="s">
        <v>123</v>
      </c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x14ac:dyDescent="0.25">
      <c r="A7" s="1" t="s">
        <v>26</v>
      </c>
      <c r="B7" s="1">
        <v>13</v>
      </c>
      <c r="C7" s="1" t="s">
        <v>101</v>
      </c>
      <c r="D7" s="1" t="s">
        <v>160</v>
      </c>
      <c r="E7" s="1">
        <v>60</v>
      </c>
      <c r="F7" s="1">
        <v>240</v>
      </c>
      <c r="G7" s="3" t="s">
        <v>123</v>
      </c>
      <c r="H7" s="3" t="s">
        <v>123</v>
      </c>
      <c r="I7" s="3">
        <v>3</v>
      </c>
      <c r="J7" s="3" t="s">
        <v>123</v>
      </c>
      <c r="K7" s="3" t="s">
        <v>123</v>
      </c>
      <c r="L7" s="3" t="s">
        <v>123</v>
      </c>
      <c r="M7" s="3" t="s">
        <v>123</v>
      </c>
      <c r="N7" s="3" t="s">
        <v>123</v>
      </c>
      <c r="O7" s="3" t="s">
        <v>123</v>
      </c>
      <c r="P7" s="3" t="s">
        <v>123</v>
      </c>
      <c r="Q7" s="3" t="s">
        <v>123</v>
      </c>
      <c r="R7" s="3" t="s">
        <v>123</v>
      </c>
      <c r="S7" s="3" t="s">
        <v>123</v>
      </c>
      <c r="T7" s="3" t="s">
        <v>123</v>
      </c>
      <c r="U7" s="3" t="s">
        <v>123</v>
      </c>
      <c r="V7" s="3" t="s">
        <v>123</v>
      </c>
      <c r="W7" s="3" t="s">
        <v>123</v>
      </c>
      <c r="X7" s="3" t="s">
        <v>123</v>
      </c>
      <c r="Y7" s="3" t="s">
        <v>123</v>
      </c>
      <c r="Z7" s="3" t="s">
        <v>123</v>
      </c>
      <c r="AA7" s="3" t="s">
        <v>123</v>
      </c>
      <c r="AB7" s="3" t="s">
        <v>123</v>
      </c>
      <c r="AC7" s="3" t="s">
        <v>123</v>
      </c>
      <c r="AD7" s="3">
        <v>1</v>
      </c>
      <c r="AE7" s="3" t="s">
        <v>123</v>
      </c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x14ac:dyDescent="0.25">
      <c r="A8" s="1" t="s">
        <v>26</v>
      </c>
      <c r="B8" s="1">
        <v>10</v>
      </c>
      <c r="C8" s="1" t="s">
        <v>11</v>
      </c>
      <c r="D8" s="1" t="s">
        <v>128</v>
      </c>
      <c r="E8" s="1">
        <v>45</v>
      </c>
      <c r="F8" s="1">
        <v>200</v>
      </c>
      <c r="G8" s="3" t="s">
        <v>123</v>
      </c>
      <c r="H8" s="3" t="s">
        <v>123</v>
      </c>
      <c r="I8" s="3">
        <v>1</v>
      </c>
      <c r="J8" s="3" t="s">
        <v>123</v>
      </c>
      <c r="K8" s="3" t="s">
        <v>123</v>
      </c>
      <c r="L8" s="3" t="s">
        <v>123</v>
      </c>
      <c r="M8" s="3" t="s">
        <v>123</v>
      </c>
      <c r="N8" s="3">
        <v>1</v>
      </c>
      <c r="O8" s="3" t="s">
        <v>123</v>
      </c>
      <c r="P8" s="3" t="s">
        <v>123</v>
      </c>
      <c r="Q8" s="3" t="s">
        <v>123</v>
      </c>
      <c r="R8" s="3" t="s">
        <v>123</v>
      </c>
      <c r="S8" s="3" t="s">
        <v>123</v>
      </c>
      <c r="T8" s="3" t="s">
        <v>123</v>
      </c>
      <c r="U8" s="3" t="s">
        <v>123</v>
      </c>
      <c r="V8" s="3" t="s">
        <v>123</v>
      </c>
      <c r="W8" s="3" t="s">
        <v>123</v>
      </c>
      <c r="X8" s="3" t="s">
        <v>123</v>
      </c>
      <c r="Y8" s="3" t="s">
        <v>123</v>
      </c>
      <c r="Z8" s="3" t="s">
        <v>123</v>
      </c>
      <c r="AA8" s="3" t="s">
        <v>123</v>
      </c>
      <c r="AB8" s="3" t="s">
        <v>123</v>
      </c>
      <c r="AC8" s="3" t="s">
        <v>123</v>
      </c>
      <c r="AD8" s="3">
        <v>1</v>
      </c>
      <c r="AE8" s="3" t="s">
        <v>123</v>
      </c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x14ac:dyDescent="0.25">
      <c r="A9" s="1" t="s">
        <v>0</v>
      </c>
      <c r="B9" s="1">
        <v>0</v>
      </c>
      <c r="C9" s="1" t="s">
        <v>5</v>
      </c>
      <c r="D9" s="1" t="s">
        <v>129</v>
      </c>
      <c r="E9" s="1">
        <v>30</v>
      </c>
      <c r="F9" s="1">
        <v>20</v>
      </c>
      <c r="G9" s="3" t="s">
        <v>123</v>
      </c>
      <c r="H9" s="3" t="s">
        <v>123</v>
      </c>
      <c r="I9" s="3">
        <v>1</v>
      </c>
      <c r="J9" s="3" t="s">
        <v>123</v>
      </c>
      <c r="K9" s="3" t="s">
        <v>123</v>
      </c>
      <c r="L9" s="3" t="s">
        <v>123</v>
      </c>
      <c r="M9" s="3" t="s">
        <v>123</v>
      </c>
      <c r="N9" s="3" t="s">
        <v>123</v>
      </c>
      <c r="O9" s="3" t="s">
        <v>123</v>
      </c>
      <c r="P9" s="3" t="s">
        <v>123</v>
      </c>
      <c r="Q9" s="3" t="s">
        <v>123</v>
      </c>
      <c r="R9" s="3" t="s">
        <v>123</v>
      </c>
      <c r="S9" s="3" t="s">
        <v>123</v>
      </c>
      <c r="T9" s="3" t="s">
        <v>123</v>
      </c>
      <c r="U9" s="3" t="s">
        <v>123</v>
      </c>
      <c r="V9" s="3" t="s">
        <v>123</v>
      </c>
      <c r="W9" s="3" t="s">
        <v>123</v>
      </c>
      <c r="X9" s="3" t="s">
        <v>123</v>
      </c>
      <c r="Y9" s="3" t="s">
        <v>123</v>
      </c>
      <c r="Z9" s="3" t="s">
        <v>123</v>
      </c>
      <c r="AA9" s="3" t="s">
        <v>123</v>
      </c>
      <c r="AB9" s="3" t="s">
        <v>123</v>
      </c>
      <c r="AC9" s="3" t="s">
        <v>123</v>
      </c>
      <c r="AD9" s="3">
        <v>1</v>
      </c>
      <c r="AE9" s="3" t="s">
        <v>123</v>
      </c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x14ac:dyDescent="0.25">
      <c r="A10" s="1" t="s">
        <v>122</v>
      </c>
      <c r="B10" s="1" t="s">
        <v>122</v>
      </c>
      <c r="C10" s="1" t="s">
        <v>72</v>
      </c>
      <c r="D10" s="1" t="s">
        <v>153</v>
      </c>
      <c r="G10" s="3" t="s">
        <v>123</v>
      </c>
      <c r="H10" s="3" t="s">
        <v>123</v>
      </c>
      <c r="I10" s="3" t="s">
        <v>123</v>
      </c>
      <c r="J10" s="3" t="s">
        <v>123</v>
      </c>
      <c r="K10" s="3">
        <v>1</v>
      </c>
      <c r="L10" s="3" t="s">
        <v>123</v>
      </c>
      <c r="M10" s="3" t="s">
        <v>123</v>
      </c>
      <c r="N10" s="3" t="s">
        <v>123</v>
      </c>
      <c r="O10" s="3" t="s">
        <v>123</v>
      </c>
      <c r="P10" s="3" t="s">
        <v>123</v>
      </c>
      <c r="Q10" s="3" t="s">
        <v>123</v>
      </c>
      <c r="R10" s="3" t="s">
        <v>123</v>
      </c>
      <c r="S10" s="3" t="s">
        <v>123</v>
      </c>
      <c r="T10" s="3" t="s">
        <v>123</v>
      </c>
      <c r="U10" s="3" t="s">
        <v>123</v>
      </c>
      <c r="V10" s="3" t="s">
        <v>123</v>
      </c>
      <c r="W10" s="3" t="s">
        <v>123</v>
      </c>
      <c r="X10" s="3" t="s">
        <v>123</v>
      </c>
      <c r="Y10" s="3" t="s">
        <v>123</v>
      </c>
      <c r="Z10" s="3" t="s">
        <v>123</v>
      </c>
      <c r="AA10" s="3" t="s">
        <v>123</v>
      </c>
      <c r="AB10" s="3" t="s">
        <v>123</v>
      </c>
      <c r="AC10" s="3" t="s">
        <v>123</v>
      </c>
      <c r="AD10" s="3">
        <v>5</v>
      </c>
      <c r="AE10" s="3" t="s">
        <v>123</v>
      </c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x14ac:dyDescent="0.25">
      <c r="A11" s="1" t="s">
        <v>122</v>
      </c>
      <c r="B11" s="1" t="s">
        <v>122</v>
      </c>
      <c r="C11" s="1" t="s">
        <v>73</v>
      </c>
      <c r="D11" s="1" t="s">
        <v>154</v>
      </c>
      <c r="G11" s="3" t="s">
        <v>123</v>
      </c>
      <c r="H11" s="3" t="s">
        <v>123</v>
      </c>
      <c r="I11" s="3">
        <v>10</v>
      </c>
      <c r="J11" s="3" t="s">
        <v>123</v>
      </c>
      <c r="K11" s="3" t="s">
        <v>123</v>
      </c>
      <c r="L11" s="3" t="s">
        <v>123</v>
      </c>
      <c r="M11" s="3" t="s">
        <v>123</v>
      </c>
      <c r="N11" s="3" t="s">
        <v>123</v>
      </c>
      <c r="O11" s="3" t="s">
        <v>123</v>
      </c>
      <c r="P11" s="3" t="s">
        <v>123</v>
      </c>
      <c r="Q11" s="3" t="s">
        <v>123</v>
      </c>
      <c r="R11" s="3" t="s">
        <v>123</v>
      </c>
      <c r="S11" s="3" t="s">
        <v>123</v>
      </c>
      <c r="T11" s="3" t="s">
        <v>123</v>
      </c>
      <c r="U11" s="3" t="s">
        <v>123</v>
      </c>
      <c r="V11" s="3" t="s">
        <v>123</v>
      </c>
      <c r="W11" s="3" t="s">
        <v>123</v>
      </c>
      <c r="X11" s="3" t="s">
        <v>123</v>
      </c>
      <c r="Y11" s="3" t="s">
        <v>123</v>
      </c>
      <c r="Z11" s="3" t="s">
        <v>123</v>
      </c>
      <c r="AA11" s="3" t="s">
        <v>123</v>
      </c>
      <c r="AB11" s="3" t="s">
        <v>123</v>
      </c>
      <c r="AC11" s="3" t="s">
        <v>123</v>
      </c>
      <c r="AD11" s="3">
        <v>5</v>
      </c>
      <c r="AE11" s="3" t="s">
        <v>123</v>
      </c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x14ac:dyDescent="0.25">
      <c r="A12" s="1" t="s">
        <v>4</v>
      </c>
      <c r="B12" s="1">
        <v>5</v>
      </c>
      <c r="C12" s="1" t="s">
        <v>102</v>
      </c>
      <c r="D12" s="1" t="s">
        <v>161</v>
      </c>
      <c r="E12" s="1">
        <v>33</v>
      </c>
      <c r="F12" s="1">
        <v>99</v>
      </c>
      <c r="G12" s="3" t="s">
        <v>123</v>
      </c>
      <c r="H12" s="3" t="s">
        <v>123</v>
      </c>
      <c r="I12" s="3"/>
      <c r="J12" s="3" t="s">
        <v>123</v>
      </c>
      <c r="K12" s="3">
        <v>1</v>
      </c>
      <c r="L12" s="3" t="s">
        <v>123</v>
      </c>
      <c r="M12" s="3" t="s">
        <v>123</v>
      </c>
      <c r="N12" s="3" t="s">
        <v>123</v>
      </c>
      <c r="O12" s="3" t="s">
        <v>123</v>
      </c>
      <c r="P12" s="3" t="s">
        <v>123</v>
      </c>
      <c r="Q12" s="3" t="s">
        <v>123</v>
      </c>
      <c r="R12" s="3" t="s">
        <v>123</v>
      </c>
      <c r="S12" s="3" t="s">
        <v>123</v>
      </c>
      <c r="T12" s="3" t="s">
        <v>123</v>
      </c>
      <c r="U12" s="3" t="s">
        <v>123</v>
      </c>
      <c r="V12" s="3" t="s">
        <v>123</v>
      </c>
      <c r="W12" s="3" t="s">
        <v>123</v>
      </c>
      <c r="X12" s="3">
        <v>5</v>
      </c>
      <c r="Y12" s="3" t="s">
        <v>123</v>
      </c>
      <c r="Z12" s="3" t="s">
        <v>123</v>
      </c>
      <c r="AA12" s="3" t="s">
        <v>123</v>
      </c>
      <c r="AB12" s="3" t="s">
        <v>123</v>
      </c>
      <c r="AC12" s="3" t="s">
        <v>123</v>
      </c>
      <c r="AD12" s="3">
        <v>5</v>
      </c>
      <c r="AE12" s="3" t="s">
        <v>123</v>
      </c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x14ac:dyDescent="0.25">
      <c r="A13" s="1" t="s">
        <v>4</v>
      </c>
      <c r="B13" s="1">
        <v>5</v>
      </c>
      <c r="C13" s="1" t="s">
        <v>103</v>
      </c>
      <c r="D13" s="1" t="s">
        <v>130</v>
      </c>
      <c r="E13" s="1">
        <v>33</v>
      </c>
      <c r="F13" s="1">
        <v>99</v>
      </c>
      <c r="G13" s="3" t="s">
        <v>123</v>
      </c>
      <c r="H13" s="3" t="s">
        <v>123</v>
      </c>
      <c r="I13" s="3" t="s">
        <v>123</v>
      </c>
      <c r="J13" s="3" t="s">
        <v>123</v>
      </c>
      <c r="K13" s="3" t="s">
        <v>123</v>
      </c>
      <c r="L13" s="3" t="s">
        <v>123</v>
      </c>
      <c r="M13" s="3" t="s">
        <v>123</v>
      </c>
      <c r="N13" s="3" t="s">
        <v>123</v>
      </c>
      <c r="O13" s="3" t="s">
        <v>123</v>
      </c>
      <c r="P13" s="3" t="s">
        <v>123</v>
      </c>
      <c r="Q13" s="3" t="s">
        <v>123</v>
      </c>
      <c r="R13" s="3" t="s">
        <v>123</v>
      </c>
      <c r="S13" s="3" t="s">
        <v>123</v>
      </c>
      <c r="T13" s="3" t="s">
        <v>123</v>
      </c>
      <c r="U13" s="3" t="s">
        <v>123</v>
      </c>
      <c r="V13" s="3" t="s">
        <v>123</v>
      </c>
      <c r="W13" s="3" t="s">
        <v>123</v>
      </c>
      <c r="X13" s="3" t="s">
        <v>123</v>
      </c>
      <c r="Y13" s="3" t="s">
        <v>123</v>
      </c>
      <c r="Z13" s="3" t="s">
        <v>123</v>
      </c>
      <c r="AA13" s="3" t="s">
        <v>123</v>
      </c>
      <c r="AB13" s="3" t="s">
        <v>123</v>
      </c>
      <c r="AC13" s="3" t="s">
        <v>123</v>
      </c>
      <c r="AD13" s="3" t="s">
        <v>123</v>
      </c>
      <c r="AE13" s="3" t="s">
        <v>123</v>
      </c>
      <c r="AF13" s="3"/>
      <c r="AG13" s="3"/>
      <c r="AH13" s="3">
        <v>1</v>
      </c>
      <c r="AI13" s="3"/>
      <c r="AJ13" s="3"/>
      <c r="AK13" s="3"/>
      <c r="AL13" s="3"/>
      <c r="AM13" s="3"/>
      <c r="AN13" s="3"/>
      <c r="AO13" s="3"/>
    </row>
    <row r="14" spans="1:41" x14ac:dyDescent="0.25">
      <c r="A14" s="1" t="s">
        <v>0</v>
      </c>
      <c r="B14" s="1">
        <v>8</v>
      </c>
      <c r="C14" s="1" t="s">
        <v>104</v>
      </c>
      <c r="D14" s="1" t="s">
        <v>137</v>
      </c>
      <c r="E14" s="1">
        <v>50</v>
      </c>
      <c r="F14" s="1">
        <v>160</v>
      </c>
      <c r="G14" s="3" t="s">
        <v>123</v>
      </c>
      <c r="H14" s="3" t="s">
        <v>123</v>
      </c>
      <c r="I14" s="3" t="s">
        <v>123</v>
      </c>
      <c r="J14" s="3" t="s">
        <v>123</v>
      </c>
      <c r="K14" s="3" t="s">
        <v>123</v>
      </c>
      <c r="L14" s="3" t="s">
        <v>123</v>
      </c>
      <c r="M14" s="3" t="s">
        <v>123</v>
      </c>
      <c r="N14" s="3" t="s">
        <v>123</v>
      </c>
      <c r="O14" s="3" t="s">
        <v>123</v>
      </c>
      <c r="P14" s="3" t="s">
        <v>123</v>
      </c>
      <c r="Q14" s="3" t="s">
        <v>123</v>
      </c>
      <c r="R14" s="3">
        <v>1</v>
      </c>
      <c r="S14" s="3" t="s">
        <v>123</v>
      </c>
      <c r="T14" s="3" t="s">
        <v>123</v>
      </c>
      <c r="U14" s="3" t="s">
        <v>123</v>
      </c>
      <c r="V14" s="3" t="s">
        <v>123</v>
      </c>
      <c r="W14" s="3" t="s">
        <v>123</v>
      </c>
      <c r="X14" s="3" t="s">
        <v>123</v>
      </c>
      <c r="Y14" s="3" t="s">
        <v>123</v>
      </c>
      <c r="Z14" s="3" t="s">
        <v>123</v>
      </c>
      <c r="AA14" s="3" t="s">
        <v>123</v>
      </c>
      <c r="AB14" s="3" t="s">
        <v>123</v>
      </c>
      <c r="AC14" s="3" t="s">
        <v>123</v>
      </c>
      <c r="AD14" s="3">
        <v>1</v>
      </c>
      <c r="AE14" s="3" t="s">
        <v>123</v>
      </c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x14ac:dyDescent="0.25">
      <c r="A15" s="1" t="s">
        <v>0</v>
      </c>
      <c r="B15" s="1">
        <v>3</v>
      </c>
      <c r="C15" s="1" t="s">
        <v>8</v>
      </c>
      <c r="D15" s="1" t="s">
        <v>162</v>
      </c>
      <c r="E15" s="1">
        <v>35</v>
      </c>
      <c r="F15" s="1">
        <v>60</v>
      </c>
      <c r="G15" s="3" t="s">
        <v>123</v>
      </c>
      <c r="H15" s="3" t="s">
        <v>123</v>
      </c>
      <c r="I15" s="3" t="s">
        <v>123</v>
      </c>
      <c r="J15" s="3" t="s">
        <v>123</v>
      </c>
      <c r="K15" s="3" t="s">
        <v>123</v>
      </c>
      <c r="L15" s="3" t="s">
        <v>123</v>
      </c>
      <c r="M15" s="3" t="s">
        <v>123</v>
      </c>
      <c r="N15" s="3">
        <v>2</v>
      </c>
      <c r="O15" s="3" t="s">
        <v>123</v>
      </c>
      <c r="P15" s="3" t="s">
        <v>123</v>
      </c>
      <c r="Q15" s="3" t="s">
        <v>123</v>
      </c>
      <c r="R15" s="3" t="s">
        <v>123</v>
      </c>
      <c r="S15" s="3" t="s">
        <v>123</v>
      </c>
      <c r="T15" s="3" t="s">
        <v>123</v>
      </c>
      <c r="U15" s="3" t="s">
        <v>123</v>
      </c>
      <c r="V15" s="3" t="s">
        <v>123</v>
      </c>
      <c r="W15" s="3" t="s">
        <v>123</v>
      </c>
      <c r="X15" s="3" t="s">
        <v>123</v>
      </c>
      <c r="Y15" s="3" t="s">
        <v>123</v>
      </c>
      <c r="Z15" s="3" t="s">
        <v>123</v>
      </c>
      <c r="AA15" s="3" t="s">
        <v>123</v>
      </c>
      <c r="AB15" s="3" t="s">
        <v>123</v>
      </c>
      <c r="AC15" s="3" t="s">
        <v>123</v>
      </c>
      <c r="AD15" s="3">
        <v>1</v>
      </c>
      <c r="AE15" s="3" t="s">
        <v>123</v>
      </c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x14ac:dyDescent="0.25">
      <c r="A16" s="1" t="s">
        <v>4</v>
      </c>
      <c r="B16" s="1">
        <v>20</v>
      </c>
      <c r="C16" s="1" t="s">
        <v>105</v>
      </c>
      <c r="D16" s="1" t="s">
        <v>163</v>
      </c>
      <c r="G16" s="3" t="s">
        <v>123</v>
      </c>
      <c r="H16" s="3" t="s">
        <v>123</v>
      </c>
      <c r="I16" s="3" t="s">
        <v>123</v>
      </c>
      <c r="J16" s="3" t="s">
        <v>123</v>
      </c>
      <c r="K16" s="3" t="s">
        <v>123</v>
      </c>
      <c r="L16" s="3" t="s">
        <v>123</v>
      </c>
      <c r="M16" s="3" t="s">
        <v>123</v>
      </c>
      <c r="N16" s="3"/>
      <c r="O16" s="3">
        <v>1</v>
      </c>
      <c r="P16" s="3" t="s">
        <v>123</v>
      </c>
      <c r="Q16" s="3" t="s">
        <v>123</v>
      </c>
      <c r="R16" s="3" t="s">
        <v>123</v>
      </c>
      <c r="S16" s="3" t="s">
        <v>123</v>
      </c>
      <c r="T16" s="3" t="s">
        <v>123</v>
      </c>
      <c r="U16" s="3" t="s">
        <v>123</v>
      </c>
      <c r="V16" s="3" t="s">
        <v>123</v>
      </c>
      <c r="W16" s="3" t="s">
        <v>123</v>
      </c>
      <c r="X16" s="3" t="s">
        <v>123</v>
      </c>
      <c r="Y16" s="3" t="s">
        <v>123</v>
      </c>
      <c r="Z16" s="3" t="s">
        <v>123</v>
      </c>
      <c r="AA16" s="3" t="s">
        <v>123</v>
      </c>
      <c r="AB16" s="3" t="s">
        <v>123</v>
      </c>
      <c r="AC16" s="3" t="s">
        <v>123</v>
      </c>
      <c r="AD16" s="3" t="s">
        <v>123</v>
      </c>
      <c r="AE16" s="3" t="s">
        <v>123</v>
      </c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x14ac:dyDescent="0.25">
      <c r="A17" s="1" t="s">
        <v>4</v>
      </c>
      <c r="B17" s="1">
        <v>20</v>
      </c>
      <c r="C17" s="1" t="s">
        <v>106</v>
      </c>
      <c r="D17" s="1" t="s">
        <v>131</v>
      </c>
      <c r="E17" s="1">
        <v>108</v>
      </c>
      <c r="F17" s="1">
        <v>400</v>
      </c>
      <c r="G17" s="3" t="s">
        <v>123</v>
      </c>
      <c r="H17" s="3" t="s">
        <v>123</v>
      </c>
      <c r="I17" s="3" t="s">
        <v>123</v>
      </c>
      <c r="J17" s="3" t="s">
        <v>123</v>
      </c>
      <c r="K17" s="3" t="s">
        <v>123</v>
      </c>
      <c r="L17" s="3" t="s">
        <v>123</v>
      </c>
      <c r="M17" s="3" t="s">
        <v>123</v>
      </c>
      <c r="N17" s="3" t="s">
        <v>123</v>
      </c>
      <c r="O17" s="3" t="s">
        <v>123</v>
      </c>
      <c r="P17" s="3" t="s">
        <v>123</v>
      </c>
      <c r="Q17" s="3" t="s">
        <v>123</v>
      </c>
      <c r="R17" s="3" t="s">
        <v>123</v>
      </c>
      <c r="S17" s="3" t="s">
        <v>123</v>
      </c>
      <c r="T17" s="3" t="s">
        <v>123</v>
      </c>
      <c r="U17" s="3" t="s">
        <v>123</v>
      </c>
      <c r="V17" s="3" t="s">
        <v>123</v>
      </c>
      <c r="W17" s="3" t="s">
        <v>123</v>
      </c>
      <c r="X17" s="3" t="s">
        <v>123</v>
      </c>
      <c r="Y17" s="3" t="s">
        <v>123</v>
      </c>
      <c r="Z17" s="3" t="s">
        <v>123</v>
      </c>
      <c r="AA17" s="3" t="s">
        <v>123</v>
      </c>
      <c r="AB17" s="3" t="s">
        <v>123</v>
      </c>
      <c r="AC17" s="3" t="s">
        <v>123</v>
      </c>
      <c r="AD17" s="3" t="s">
        <v>123</v>
      </c>
      <c r="AE17" s="3" t="s">
        <v>123</v>
      </c>
      <c r="AF17" s="3"/>
      <c r="AG17" s="3"/>
      <c r="AH17" s="3"/>
      <c r="AI17" s="3">
        <v>1</v>
      </c>
      <c r="AJ17" s="3"/>
      <c r="AK17" s="3"/>
      <c r="AL17" s="3"/>
      <c r="AM17" s="3"/>
      <c r="AN17" s="3"/>
      <c r="AO17" s="3"/>
    </row>
    <row r="18" spans="1:41" x14ac:dyDescent="0.25">
      <c r="A18" s="1" t="s">
        <v>4</v>
      </c>
      <c r="B18" s="1">
        <v>11</v>
      </c>
      <c r="C18" s="1" t="s">
        <v>107</v>
      </c>
      <c r="D18" s="1" t="s">
        <v>164</v>
      </c>
      <c r="G18" s="3" t="s">
        <v>123</v>
      </c>
      <c r="H18" s="3" t="s">
        <v>123</v>
      </c>
      <c r="I18" s="3" t="s">
        <v>123</v>
      </c>
      <c r="J18" s="3" t="s">
        <v>123</v>
      </c>
      <c r="K18" s="3" t="s">
        <v>123</v>
      </c>
      <c r="L18" s="3">
        <v>10</v>
      </c>
      <c r="M18" s="3" t="s">
        <v>123</v>
      </c>
      <c r="N18" s="3" t="s">
        <v>123</v>
      </c>
      <c r="O18" s="3" t="s">
        <v>123</v>
      </c>
      <c r="P18" s="3" t="s">
        <v>123</v>
      </c>
      <c r="Q18" s="3" t="s">
        <v>123</v>
      </c>
      <c r="R18" s="3" t="s">
        <v>123</v>
      </c>
      <c r="S18" s="3" t="s">
        <v>123</v>
      </c>
      <c r="T18" s="3" t="s">
        <v>123</v>
      </c>
      <c r="U18" s="3" t="s">
        <v>123</v>
      </c>
      <c r="V18" s="3" t="s">
        <v>123</v>
      </c>
      <c r="W18" s="3" t="s">
        <v>123</v>
      </c>
      <c r="X18" s="3" t="s">
        <v>123</v>
      </c>
      <c r="Y18" s="3" t="s">
        <v>123</v>
      </c>
      <c r="Z18" s="3" t="s">
        <v>123</v>
      </c>
      <c r="AA18" s="3" t="s">
        <v>123</v>
      </c>
      <c r="AB18" s="3" t="s">
        <v>123</v>
      </c>
      <c r="AC18" s="3" t="s">
        <v>123</v>
      </c>
      <c r="AD18" s="3" t="s">
        <v>123</v>
      </c>
      <c r="AE18" s="3" t="s">
        <v>123</v>
      </c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x14ac:dyDescent="0.25">
      <c r="A19" s="1" t="s">
        <v>4</v>
      </c>
      <c r="B19" s="1">
        <v>11</v>
      </c>
      <c r="C19" s="1" t="s">
        <v>108</v>
      </c>
      <c r="D19" s="1" t="s">
        <v>165</v>
      </c>
      <c r="E19" s="1">
        <v>52</v>
      </c>
      <c r="F19" s="1">
        <v>220</v>
      </c>
      <c r="G19" s="3" t="s">
        <v>123</v>
      </c>
      <c r="H19" s="3" t="s">
        <v>123</v>
      </c>
      <c r="I19" s="3" t="s">
        <v>123</v>
      </c>
      <c r="J19" s="3" t="s">
        <v>123</v>
      </c>
      <c r="K19" s="3" t="s">
        <v>123</v>
      </c>
      <c r="L19" s="3"/>
      <c r="M19" s="3" t="s">
        <v>123</v>
      </c>
      <c r="N19" s="3" t="s">
        <v>123</v>
      </c>
      <c r="O19" s="3" t="s">
        <v>123</v>
      </c>
      <c r="P19" s="3" t="s">
        <v>123</v>
      </c>
      <c r="Q19" s="3" t="s">
        <v>123</v>
      </c>
      <c r="R19" s="3" t="s">
        <v>123</v>
      </c>
      <c r="S19" s="3" t="s">
        <v>123</v>
      </c>
      <c r="T19" s="3" t="s">
        <v>123</v>
      </c>
      <c r="U19" s="3" t="s">
        <v>123</v>
      </c>
      <c r="V19" s="3" t="s">
        <v>123</v>
      </c>
      <c r="W19" s="3" t="s">
        <v>123</v>
      </c>
      <c r="X19" s="3" t="s">
        <v>123</v>
      </c>
      <c r="Y19" s="3" t="s">
        <v>123</v>
      </c>
      <c r="Z19" s="3" t="s">
        <v>123</v>
      </c>
      <c r="AA19" s="3" t="s">
        <v>123</v>
      </c>
      <c r="AB19" s="3" t="s">
        <v>123</v>
      </c>
      <c r="AC19" s="3" t="s">
        <v>123</v>
      </c>
      <c r="AD19" s="3" t="s">
        <v>123</v>
      </c>
      <c r="AE19" s="3" t="s">
        <v>123</v>
      </c>
      <c r="AF19" s="3"/>
      <c r="AG19" s="3"/>
      <c r="AH19" s="3"/>
      <c r="AI19" s="3"/>
      <c r="AJ19" s="3">
        <v>1</v>
      </c>
      <c r="AK19" s="3"/>
      <c r="AL19" s="3"/>
      <c r="AM19" s="3"/>
      <c r="AN19" s="3"/>
      <c r="AO19" s="3"/>
    </row>
    <row r="20" spans="1:41" x14ac:dyDescent="0.25">
      <c r="A20" s="1" t="s">
        <v>0</v>
      </c>
      <c r="B20" s="1">
        <v>15</v>
      </c>
      <c r="C20" s="1" t="s">
        <v>16</v>
      </c>
      <c r="D20" s="1" t="s">
        <v>132</v>
      </c>
      <c r="E20" s="1">
        <v>190</v>
      </c>
      <c r="F20" s="1">
        <v>300</v>
      </c>
      <c r="G20" s="3" t="s">
        <v>123</v>
      </c>
      <c r="H20" s="3" t="s">
        <v>123</v>
      </c>
      <c r="I20" s="3" t="s">
        <v>123</v>
      </c>
      <c r="J20" s="3" t="s">
        <v>123</v>
      </c>
      <c r="K20" s="3" t="s">
        <v>123</v>
      </c>
      <c r="L20" s="3">
        <v>1</v>
      </c>
      <c r="M20" s="3">
        <v>1</v>
      </c>
      <c r="N20" s="3" t="s">
        <v>123</v>
      </c>
      <c r="O20" s="3" t="s">
        <v>123</v>
      </c>
      <c r="P20" s="3" t="s">
        <v>123</v>
      </c>
      <c r="Q20" s="3" t="s">
        <v>123</v>
      </c>
      <c r="R20" s="3" t="s">
        <v>123</v>
      </c>
      <c r="S20" s="3" t="s">
        <v>123</v>
      </c>
      <c r="T20" s="3" t="s">
        <v>123</v>
      </c>
      <c r="U20" s="3" t="s">
        <v>123</v>
      </c>
      <c r="V20" s="3" t="s">
        <v>123</v>
      </c>
      <c r="W20" s="3" t="s">
        <v>123</v>
      </c>
      <c r="X20" s="3" t="s">
        <v>123</v>
      </c>
      <c r="Y20" s="3" t="s">
        <v>123</v>
      </c>
      <c r="Z20" s="3" t="s">
        <v>123</v>
      </c>
      <c r="AA20" s="3" t="s">
        <v>123</v>
      </c>
      <c r="AB20" s="3" t="s">
        <v>123</v>
      </c>
      <c r="AC20" s="3" t="s">
        <v>123</v>
      </c>
      <c r="AD20" s="3">
        <v>1</v>
      </c>
      <c r="AE20" s="3" t="s">
        <v>123</v>
      </c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x14ac:dyDescent="0.25">
      <c r="A21" s="1" t="s">
        <v>4</v>
      </c>
      <c r="B21" s="1">
        <v>18</v>
      </c>
      <c r="C21" s="1" t="s">
        <v>109</v>
      </c>
      <c r="D21" s="1" t="s">
        <v>158</v>
      </c>
      <c r="G21" s="3"/>
      <c r="H21" s="3" t="s">
        <v>123</v>
      </c>
      <c r="I21" s="3" t="s">
        <v>123</v>
      </c>
      <c r="J21" s="3" t="s">
        <v>123</v>
      </c>
      <c r="K21" s="3" t="s">
        <v>123</v>
      </c>
      <c r="L21" s="3" t="s">
        <v>123</v>
      </c>
      <c r="M21" s="3" t="s">
        <v>123</v>
      </c>
      <c r="N21" s="3" t="s">
        <v>123</v>
      </c>
      <c r="O21" s="3" t="s">
        <v>123</v>
      </c>
      <c r="P21" s="3" t="s">
        <v>123</v>
      </c>
      <c r="Q21" s="3" t="s">
        <v>123</v>
      </c>
      <c r="R21" s="3" t="s">
        <v>123</v>
      </c>
      <c r="S21" s="3" t="s">
        <v>123</v>
      </c>
      <c r="T21" s="3" t="s">
        <v>123</v>
      </c>
      <c r="U21" s="3" t="s">
        <v>123</v>
      </c>
      <c r="V21" s="3" t="s">
        <v>123</v>
      </c>
      <c r="W21" s="3" t="s">
        <v>123</v>
      </c>
      <c r="X21" s="3" t="s">
        <v>123</v>
      </c>
      <c r="Y21" s="3" t="s">
        <v>123</v>
      </c>
      <c r="Z21" s="3" t="s">
        <v>123</v>
      </c>
      <c r="AA21" s="3" t="s">
        <v>123</v>
      </c>
      <c r="AB21" s="3" t="s">
        <v>123</v>
      </c>
      <c r="AC21" s="3" t="s">
        <v>123</v>
      </c>
      <c r="AD21" s="3" t="s">
        <v>123</v>
      </c>
      <c r="AE21" s="3" t="s">
        <v>123</v>
      </c>
      <c r="AF21" s="3"/>
      <c r="AG21" s="3">
        <v>1</v>
      </c>
      <c r="AH21" s="3"/>
      <c r="AI21" s="3"/>
      <c r="AJ21" s="3"/>
      <c r="AK21" s="3"/>
      <c r="AL21" s="3"/>
      <c r="AM21" s="3"/>
      <c r="AN21" s="3"/>
      <c r="AO21" s="3"/>
    </row>
    <row r="22" spans="1:41" x14ac:dyDescent="0.25">
      <c r="A22" s="1" t="s">
        <v>4</v>
      </c>
      <c r="B22" s="1">
        <v>18</v>
      </c>
      <c r="C22" s="1" t="s">
        <v>110</v>
      </c>
      <c r="D22" s="1" t="s">
        <v>135</v>
      </c>
      <c r="E22" s="1">
        <v>90</v>
      </c>
      <c r="F22" s="1">
        <v>360</v>
      </c>
      <c r="G22" s="3" t="s">
        <v>123</v>
      </c>
      <c r="H22" s="3" t="s">
        <v>123</v>
      </c>
      <c r="I22" s="3" t="s">
        <v>123</v>
      </c>
      <c r="J22" s="3" t="s">
        <v>123</v>
      </c>
      <c r="K22" s="3" t="s">
        <v>123</v>
      </c>
      <c r="L22" s="3" t="s">
        <v>123</v>
      </c>
      <c r="M22" s="3" t="s">
        <v>123</v>
      </c>
      <c r="N22" s="3" t="s">
        <v>123</v>
      </c>
      <c r="O22" s="3" t="s">
        <v>123</v>
      </c>
      <c r="P22" s="3" t="s">
        <v>123</v>
      </c>
      <c r="Q22" s="3" t="s">
        <v>123</v>
      </c>
      <c r="R22" s="3" t="s">
        <v>123</v>
      </c>
      <c r="S22" s="3" t="s">
        <v>123</v>
      </c>
      <c r="T22" s="3" t="s">
        <v>123</v>
      </c>
      <c r="U22" s="3" t="s">
        <v>123</v>
      </c>
      <c r="V22" s="3" t="s">
        <v>123</v>
      </c>
      <c r="W22" s="3" t="s">
        <v>123</v>
      </c>
      <c r="X22" s="3" t="s">
        <v>123</v>
      </c>
      <c r="Y22" s="3" t="s">
        <v>123</v>
      </c>
      <c r="Z22" s="3" t="s">
        <v>123</v>
      </c>
      <c r="AA22" s="3" t="s">
        <v>123</v>
      </c>
      <c r="AB22" s="3" t="s">
        <v>123</v>
      </c>
      <c r="AC22" s="3" t="s">
        <v>123</v>
      </c>
      <c r="AD22" s="3" t="s">
        <v>123</v>
      </c>
      <c r="AE22" s="3" t="s">
        <v>123</v>
      </c>
      <c r="AF22" s="3"/>
      <c r="AG22" s="3"/>
      <c r="AH22" s="3"/>
      <c r="AI22" s="3"/>
      <c r="AJ22" s="3"/>
      <c r="AK22" s="3">
        <v>1</v>
      </c>
      <c r="AL22" s="3"/>
      <c r="AM22" s="3"/>
      <c r="AN22" s="3"/>
      <c r="AO22" s="3"/>
    </row>
    <row r="23" spans="1:41" x14ac:dyDescent="0.25">
      <c r="A23" s="1" t="s">
        <v>122</v>
      </c>
      <c r="B23" s="1" t="s">
        <v>122</v>
      </c>
      <c r="C23" s="1" t="s">
        <v>77</v>
      </c>
      <c r="D23" s="1" t="s">
        <v>155</v>
      </c>
      <c r="G23" s="3" t="s">
        <v>123</v>
      </c>
      <c r="H23" s="3" t="s">
        <v>123</v>
      </c>
      <c r="I23" s="3" t="s">
        <v>123</v>
      </c>
      <c r="J23" s="3" t="s">
        <v>123</v>
      </c>
      <c r="K23" s="3" t="s">
        <v>123</v>
      </c>
      <c r="L23" s="3" t="s">
        <v>123</v>
      </c>
      <c r="M23" s="3" t="s">
        <v>123</v>
      </c>
      <c r="N23" s="3" t="s">
        <v>123</v>
      </c>
      <c r="O23" s="3" t="s">
        <v>123</v>
      </c>
      <c r="P23" s="3">
        <v>1</v>
      </c>
      <c r="Q23" s="3" t="s">
        <v>123</v>
      </c>
      <c r="R23" s="3" t="s">
        <v>123</v>
      </c>
      <c r="S23" s="3" t="s">
        <v>123</v>
      </c>
      <c r="T23" s="3" t="s">
        <v>123</v>
      </c>
      <c r="U23" s="3" t="s">
        <v>123</v>
      </c>
      <c r="V23" s="3" t="s">
        <v>123</v>
      </c>
      <c r="W23" s="3" t="s">
        <v>123</v>
      </c>
      <c r="X23" s="3" t="s">
        <v>123</v>
      </c>
      <c r="Y23" s="3" t="s">
        <v>123</v>
      </c>
      <c r="Z23" s="3" t="s">
        <v>123</v>
      </c>
      <c r="AA23" s="3" t="s">
        <v>123</v>
      </c>
      <c r="AB23" s="3" t="s">
        <v>123</v>
      </c>
      <c r="AC23" s="3" t="s">
        <v>123</v>
      </c>
      <c r="AD23" s="3">
        <v>5</v>
      </c>
      <c r="AE23" s="3" t="s">
        <v>123</v>
      </c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x14ac:dyDescent="0.25">
      <c r="A24" s="1" t="s">
        <v>122</v>
      </c>
      <c r="B24" s="1" t="s">
        <v>122</v>
      </c>
      <c r="C24" s="1" t="s">
        <v>78</v>
      </c>
      <c r="D24" s="1" t="s">
        <v>156</v>
      </c>
      <c r="G24" s="3" t="s">
        <v>123</v>
      </c>
      <c r="H24" s="3" t="s">
        <v>123</v>
      </c>
      <c r="I24" s="3" t="s">
        <v>123</v>
      </c>
      <c r="J24" s="3" t="s">
        <v>123</v>
      </c>
      <c r="K24" s="3" t="s">
        <v>123</v>
      </c>
      <c r="L24" s="3" t="s">
        <v>123</v>
      </c>
      <c r="M24" s="3" t="s">
        <v>123</v>
      </c>
      <c r="N24" s="3">
        <v>10</v>
      </c>
      <c r="O24" s="3" t="s">
        <v>123</v>
      </c>
      <c r="P24" s="3" t="s">
        <v>123</v>
      </c>
      <c r="Q24" s="3" t="s">
        <v>123</v>
      </c>
      <c r="R24" s="3" t="s">
        <v>123</v>
      </c>
      <c r="S24" s="3" t="s">
        <v>123</v>
      </c>
      <c r="T24" s="3" t="s">
        <v>123</v>
      </c>
      <c r="U24" s="3" t="s">
        <v>123</v>
      </c>
      <c r="V24" s="3" t="s">
        <v>123</v>
      </c>
      <c r="W24" s="3" t="s">
        <v>123</v>
      </c>
      <c r="X24" s="3" t="s">
        <v>123</v>
      </c>
      <c r="Y24" s="3" t="s">
        <v>123</v>
      </c>
      <c r="Z24" s="3" t="s">
        <v>123</v>
      </c>
      <c r="AA24" s="3" t="s">
        <v>123</v>
      </c>
      <c r="AB24" s="3" t="s">
        <v>123</v>
      </c>
      <c r="AC24" s="3" t="s">
        <v>123</v>
      </c>
      <c r="AD24" s="3">
        <v>5</v>
      </c>
      <c r="AE24" s="3" t="s">
        <v>123</v>
      </c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x14ac:dyDescent="0.25">
      <c r="A25" s="1" t="s">
        <v>0</v>
      </c>
      <c r="C25" s="1" t="s">
        <v>1</v>
      </c>
      <c r="D25" s="1" t="s">
        <v>136</v>
      </c>
      <c r="E25" s="1">
        <v>150</v>
      </c>
      <c r="F25" s="1">
        <v>140</v>
      </c>
      <c r="G25" s="3" t="s">
        <v>123</v>
      </c>
      <c r="H25" s="3" t="s">
        <v>123</v>
      </c>
      <c r="I25" s="3" t="s">
        <v>123</v>
      </c>
      <c r="J25" s="3" t="s">
        <v>123</v>
      </c>
      <c r="K25" s="3" t="s">
        <v>123</v>
      </c>
      <c r="L25" s="3" t="s">
        <v>123</v>
      </c>
      <c r="M25" s="3" t="s">
        <v>123</v>
      </c>
      <c r="N25" s="3">
        <v>1</v>
      </c>
      <c r="O25" s="3" t="s">
        <v>123</v>
      </c>
      <c r="P25" s="3" t="s">
        <v>123</v>
      </c>
      <c r="Q25" s="3">
        <v>1</v>
      </c>
      <c r="R25" s="3">
        <v>1</v>
      </c>
      <c r="S25" s="3" t="s">
        <v>123</v>
      </c>
      <c r="T25" s="3" t="s">
        <v>123</v>
      </c>
      <c r="U25" s="3" t="s">
        <v>123</v>
      </c>
      <c r="V25" s="3" t="s">
        <v>123</v>
      </c>
      <c r="W25" s="3" t="s">
        <v>123</v>
      </c>
      <c r="X25" s="3" t="s">
        <v>123</v>
      </c>
      <c r="Y25" s="3" t="s">
        <v>123</v>
      </c>
      <c r="Z25" s="3" t="s">
        <v>123</v>
      </c>
      <c r="AA25" s="3" t="s">
        <v>123</v>
      </c>
      <c r="AB25" s="3" t="s">
        <v>123</v>
      </c>
      <c r="AC25" s="3" t="s">
        <v>123</v>
      </c>
      <c r="AD25" s="3" t="s">
        <v>123</v>
      </c>
      <c r="AE25" s="3" t="s">
        <v>123</v>
      </c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x14ac:dyDescent="0.25">
      <c r="A26" s="1" t="s">
        <v>0</v>
      </c>
      <c r="B26" s="1">
        <v>12</v>
      </c>
      <c r="C26" s="1" t="s">
        <v>13</v>
      </c>
      <c r="D26" s="1" t="s">
        <v>139</v>
      </c>
      <c r="E26" s="1">
        <v>160</v>
      </c>
      <c r="F26" s="1">
        <v>240</v>
      </c>
      <c r="G26" s="3" t="s">
        <v>123</v>
      </c>
      <c r="H26" s="3" t="s">
        <v>123</v>
      </c>
      <c r="I26" s="3" t="s">
        <v>123</v>
      </c>
      <c r="J26" s="3" t="s">
        <v>123</v>
      </c>
      <c r="K26" s="3" t="s">
        <v>123</v>
      </c>
      <c r="L26" s="3" t="s">
        <v>123</v>
      </c>
      <c r="M26" s="3" t="s">
        <v>123</v>
      </c>
      <c r="N26" s="3" t="s">
        <v>123</v>
      </c>
      <c r="O26" s="3" t="s">
        <v>123</v>
      </c>
      <c r="P26" s="3" t="s">
        <v>123</v>
      </c>
      <c r="Q26" s="3" t="s">
        <v>123</v>
      </c>
      <c r="R26" s="3" t="s">
        <v>123</v>
      </c>
      <c r="S26" s="3" t="s">
        <v>123</v>
      </c>
      <c r="T26" s="3">
        <v>1</v>
      </c>
      <c r="U26" s="3" t="s">
        <v>123</v>
      </c>
      <c r="V26" s="3" t="s">
        <v>123</v>
      </c>
      <c r="W26" s="3" t="s">
        <v>123</v>
      </c>
      <c r="X26" s="3" t="s">
        <v>123</v>
      </c>
      <c r="Y26" s="3">
        <v>1</v>
      </c>
      <c r="Z26" s="3" t="s">
        <v>123</v>
      </c>
      <c r="AA26" s="3" t="s">
        <v>123</v>
      </c>
      <c r="AB26" s="3" t="s">
        <v>123</v>
      </c>
      <c r="AC26" s="3" t="s">
        <v>123</v>
      </c>
      <c r="AD26" s="3">
        <v>1</v>
      </c>
      <c r="AE26" s="3" t="s">
        <v>123</v>
      </c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x14ac:dyDescent="0.25">
      <c r="A27" s="1" t="s">
        <v>26</v>
      </c>
      <c r="B27" s="1">
        <v>7</v>
      </c>
      <c r="C27" s="1" t="s">
        <v>10</v>
      </c>
      <c r="D27" s="1" t="s">
        <v>166</v>
      </c>
      <c r="E27" s="1">
        <v>115</v>
      </c>
      <c r="F27" s="1">
        <v>140</v>
      </c>
      <c r="G27" s="3" t="s">
        <v>123</v>
      </c>
      <c r="H27" s="3" t="s">
        <v>123</v>
      </c>
      <c r="I27" s="3">
        <v>2</v>
      </c>
      <c r="J27" s="3" t="s">
        <v>123</v>
      </c>
      <c r="K27" s="3" t="s">
        <v>123</v>
      </c>
      <c r="L27" s="3" t="s">
        <v>123</v>
      </c>
      <c r="M27" s="3" t="s">
        <v>123</v>
      </c>
      <c r="N27" s="3" t="s">
        <v>123</v>
      </c>
      <c r="O27" s="3" t="s">
        <v>123</v>
      </c>
      <c r="P27" s="3" t="s">
        <v>123</v>
      </c>
      <c r="Q27" s="3" t="s">
        <v>123</v>
      </c>
      <c r="R27" s="3">
        <v>2</v>
      </c>
      <c r="S27" s="3" t="s">
        <v>123</v>
      </c>
      <c r="T27" s="3" t="s">
        <v>123</v>
      </c>
      <c r="U27" s="3" t="s">
        <v>123</v>
      </c>
      <c r="V27" s="3" t="s">
        <v>123</v>
      </c>
      <c r="W27" s="3">
        <v>1</v>
      </c>
      <c r="X27" s="3" t="s">
        <v>123</v>
      </c>
      <c r="Y27" s="3" t="s">
        <v>123</v>
      </c>
      <c r="Z27" s="3" t="s">
        <v>123</v>
      </c>
      <c r="AA27" s="3" t="s">
        <v>123</v>
      </c>
      <c r="AB27" s="3" t="s">
        <v>123</v>
      </c>
      <c r="AC27" s="3" t="s">
        <v>123</v>
      </c>
      <c r="AD27" s="3">
        <v>1</v>
      </c>
      <c r="AE27" s="3" t="s">
        <v>123</v>
      </c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x14ac:dyDescent="0.25">
      <c r="A28" s="1" t="s">
        <v>26</v>
      </c>
      <c r="B28" s="1">
        <v>22</v>
      </c>
      <c r="C28" s="1" t="s">
        <v>20</v>
      </c>
      <c r="D28" s="1" t="s">
        <v>145</v>
      </c>
      <c r="G28" s="3" t="s">
        <v>123</v>
      </c>
      <c r="H28" s="3" t="s">
        <v>123</v>
      </c>
      <c r="I28" s="3" t="s">
        <v>123</v>
      </c>
      <c r="J28" s="3" t="s">
        <v>123</v>
      </c>
      <c r="K28" s="3" t="s">
        <v>123</v>
      </c>
      <c r="L28" s="3" t="s">
        <v>123</v>
      </c>
      <c r="M28" s="3" t="s">
        <v>123</v>
      </c>
      <c r="N28" s="3" t="s">
        <v>123</v>
      </c>
      <c r="O28" s="3" t="s">
        <v>123</v>
      </c>
      <c r="P28" s="3" t="s">
        <v>123</v>
      </c>
      <c r="Q28" s="3" t="s">
        <v>123</v>
      </c>
      <c r="R28" s="3">
        <v>3</v>
      </c>
      <c r="S28" s="3" t="s">
        <v>123</v>
      </c>
      <c r="T28" s="3" t="s">
        <v>123</v>
      </c>
      <c r="U28" s="3" t="s">
        <v>123</v>
      </c>
      <c r="V28" s="3" t="s">
        <v>123</v>
      </c>
      <c r="W28" s="3" t="s">
        <v>123</v>
      </c>
      <c r="X28" s="3" t="s">
        <v>123</v>
      </c>
      <c r="Y28" s="3" t="s">
        <v>123</v>
      </c>
      <c r="Z28" s="3" t="s">
        <v>123</v>
      </c>
      <c r="AA28" s="3" t="s">
        <v>123</v>
      </c>
      <c r="AB28" s="3" t="s">
        <v>123</v>
      </c>
      <c r="AC28" s="3" t="s">
        <v>123</v>
      </c>
      <c r="AD28" s="3" t="s">
        <v>123</v>
      </c>
      <c r="AE28" s="3" t="s">
        <v>123</v>
      </c>
      <c r="AF28" s="3"/>
      <c r="AG28" s="3"/>
      <c r="AH28" s="3"/>
      <c r="AI28" s="3"/>
      <c r="AJ28" s="3"/>
      <c r="AK28" s="3"/>
      <c r="AL28" s="3"/>
      <c r="AM28" s="3"/>
      <c r="AN28" s="3"/>
      <c r="AO28" s="3">
        <v>1</v>
      </c>
    </row>
    <row r="29" spans="1:41" x14ac:dyDescent="0.25">
      <c r="A29" s="1" t="s">
        <v>3</v>
      </c>
      <c r="B29" s="1">
        <v>4</v>
      </c>
      <c r="C29" s="1" t="s">
        <v>111</v>
      </c>
      <c r="D29" s="1" t="s">
        <v>141</v>
      </c>
      <c r="E29" s="1">
        <v>30</v>
      </c>
      <c r="F29" s="1">
        <v>80</v>
      </c>
      <c r="G29" s="3" t="s">
        <v>123</v>
      </c>
      <c r="H29" s="3" t="s">
        <v>123</v>
      </c>
      <c r="I29" s="3" t="s">
        <v>123</v>
      </c>
      <c r="J29" s="3" t="s">
        <v>123</v>
      </c>
      <c r="K29" s="3" t="s">
        <v>123</v>
      </c>
      <c r="L29" s="3" t="s">
        <v>123</v>
      </c>
      <c r="M29" s="3" t="s">
        <v>123</v>
      </c>
      <c r="N29" s="3" t="s">
        <v>123</v>
      </c>
      <c r="O29" s="3" t="s">
        <v>123</v>
      </c>
      <c r="P29" s="3" t="s">
        <v>123</v>
      </c>
      <c r="Q29" s="3" t="s">
        <v>123</v>
      </c>
      <c r="R29" s="3" t="s">
        <v>123</v>
      </c>
      <c r="S29" s="3" t="s">
        <v>123</v>
      </c>
      <c r="T29" s="3" t="s">
        <v>123</v>
      </c>
      <c r="U29" s="3" t="s">
        <v>123</v>
      </c>
      <c r="V29" s="3" t="s">
        <v>123</v>
      </c>
      <c r="W29" s="3" t="s">
        <v>123</v>
      </c>
      <c r="X29" s="3" t="s">
        <v>123</v>
      </c>
      <c r="Y29" s="3" t="s">
        <v>123</v>
      </c>
      <c r="Z29" s="3">
        <v>1</v>
      </c>
      <c r="AA29" s="3" t="s">
        <v>123</v>
      </c>
      <c r="AB29" s="3" t="s">
        <v>123</v>
      </c>
      <c r="AC29" s="3" t="s">
        <v>123</v>
      </c>
      <c r="AD29" s="3" t="s">
        <v>123</v>
      </c>
      <c r="AE29" s="3" t="s">
        <v>123</v>
      </c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x14ac:dyDescent="0.25">
      <c r="A30" s="1" t="s">
        <v>3</v>
      </c>
      <c r="B30" s="1">
        <v>10</v>
      </c>
      <c r="C30" s="1" t="s">
        <v>112</v>
      </c>
      <c r="D30" s="1" t="s">
        <v>134</v>
      </c>
      <c r="E30" s="1">
        <v>130</v>
      </c>
      <c r="F30" s="1">
        <v>200</v>
      </c>
      <c r="G30" s="3" t="s">
        <v>123</v>
      </c>
      <c r="H30" s="3" t="s">
        <v>123</v>
      </c>
      <c r="I30" s="3" t="s">
        <v>123</v>
      </c>
      <c r="J30" s="3" t="s">
        <v>123</v>
      </c>
      <c r="K30" s="3" t="s">
        <v>123</v>
      </c>
      <c r="L30" s="3" t="s">
        <v>123</v>
      </c>
      <c r="M30" s="3">
        <v>1</v>
      </c>
      <c r="N30" s="3" t="s">
        <v>123</v>
      </c>
      <c r="O30" s="3" t="s">
        <v>123</v>
      </c>
      <c r="P30" s="3" t="s">
        <v>123</v>
      </c>
      <c r="Q30" s="3" t="s">
        <v>123</v>
      </c>
      <c r="R30" s="3" t="s">
        <v>123</v>
      </c>
      <c r="S30" s="3">
        <v>1</v>
      </c>
      <c r="T30" s="3" t="s">
        <v>123</v>
      </c>
      <c r="U30" s="3" t="s">
        <v>123</v>
      </c>
      <c r="V30" s="3" t="s">
        <v>123</v>
      </c>
      <c r="W30" s="3" t="s">
        <v>123</v>
      </c>
      <c r="X30" s="3" t="s">
        <v>123</v>
      </c>
      <c r="Y30" s="3" t="s">
        <v>123</v>
      </c>
      <c r="Z30" s="3" t="s">
        <v>123</v>
      </c>
      <c r="AA30" s="3" t="s">
        <v>123</v>
      </c>
      <c r="AB30" s="3" t="s">
        <v>123</v>
      </c>
      <c r="AC30" s="3" t="s">
        <v>123</v>
      </c>
      <c r="AD30" s="3" t="s">
        <v>123</v>
      </c>
      <c r="AE30" s="3" t="s">
        <v>123</v>
      </c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x14ac:dyDescent="0.25">
      <c r="A31" s="1" t="s">
        <v>3</v>
      </c>
      <c r="B31" s="1">
        <v>22</v>
      </c>
      <c r="C31" s="1" t="s">
        <v>21</v>
      </c>
      <c r="D31" s="1" t="s">
        <v>146</v>
      </c>
      <c r="G31" s="3" t="s">
        <v>123</v>
      </c>
      <c r="H31" s="3" t="s">
        <v>123</v>
      </c>
      <c r="I31" s="3" t="s">
        <v>123</v>
      </c>
      <c r="J31" s="3" t="s">
        <v>123</v>
      </c>
      <c r="K31" s="3" t="s">
        <v>123</v>
      </c>
      <c r="L31" s="3" t="s">
        <v>123</v>
      </c>
      <c r="M31" s="3">
        <v>1</v>
      </c>
      <c r="N31" s="3" t="s">
        <v>123</v>
      </c>
      <c r="O31" s="3" t="s">
        <v>123</v>
      </c>
      <c r="P31" s="3" t="s">
        <v>123</v>
      </c>
      <c r="Q31" s="3" t="s">
        <v>123</v>
      </c>
      <c r="R31" s="3" t="s">
        <v>123</v>
      </c>
      <c r="S31" s="3" t="s">
        <v>123</v>
      </c>
      <c r="T31" s="3" t="s">
        <v>123</v>
      </c>
      <c r="U31" s="3" t="s">
        <v>123</v>
      </c>
      <c r="V31" s="3" t="s">
        <v>123</v>
      </c>
      <c r="W31" s="3">
        <v>2</v>
      </c>
      <c r="X31" s="3" t="s">
        <v>123</v>
      </c>
      <c r="Y31" s="3" t="s">
        <v>123</v>
      </c>
      <c r="Z31" s="3" t="s">
        <v>123</v>
      </c>
      <c r="AA31" s="3" t="s">
        <v>123</v>
      </c>
      <c r="AB31" s="3" t="s">
        <v>123</v>
      </c>
      <c r="AC31" s="3" t="s">
        <v>123</v>
      </c>
      <c r="AD31" s="3" t="s">
        <v>123</v>
      </c>
      <c r="AE31" s="3" t="s">
        <v>123</v>
      </c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x14ac:dyDescent="0.25">
      <c r="A32" s="1" t="s">
        <v>3</v>
      </c>
      <c r="B32" s="1">
        <v>12</v>
      </c>
      <c r="C32" s="1" t="s">
        <v>14</v>
      </c>
      <c r="D32" s="1" t="s">
        <v>138</v>
      </c>
      <c r="E32" s="1">
        <v>90</v>
      </c>
      <c r="F32" s="1">
        <v>240</v>
      </c>
      <c r="G32" s="3" t="s">
        <v>123</v>
      </c>
      <c r="H32" s="3" t="s">
        <v>123</v>
      </c>
      <c r="I32" s="3" t="s">
        <v>123</v>
      </c>
      <c r="J32" s="3" t="s">
        <v>123</v>
      </c>
      <c r="K32" s="3" t="s">
        <v>123</v>
      </c>
      <c r="L32" s="3" t="s">
        <v>123</v>
      </c>
      <c r="M32" s="3" t="s">
        <v>123</v>
      </c>
      <c r="N32" s="3" t="s">
        <v>123</v>
      </c>
      <c r="O32" s="3" t="s">
        <v>123</v>
      </c>
      <c r="P32" s="3" t="s">
        <v>123</v>
      </c>
      <c r="Q32" s="3" t="s">
        <v>123</v>
      </c>
      <c r="R32" s="3" t="s">
        <v>123</v>
      </c>
      <c r="S32" s="3" t="s">
        <v>123</v>
      </c>
      <c r="T32" s="3">
        <v>1</v>
      </c>
      <c r="U32" s="3" t="s">
        <v>123</v>
      </c>
      <c r="V32" s="3" t="s">
        <v>123</v>
      </c>
      <c r="W32" s="3" t="s">
        <v>123</v>
      </c>
      <c r="X32" s="3" t="s">
        <v>123</v>
      </c>
      <c r="Y32" s="3" t="s">
        <v>123</v>
      </c>
      <c r="Z32" s="3" t="s">
        <v>123</v>
      </c>
      <c r="AA32" s="3" t="s">
        <v>123</v>
      </c>
      <c r="AB32" s="3" t="s">
        <v>123</v>
      </c>
      <c r="AC32" s="3" t="s">
        <v>123</v>
      </c>
      <c r="AD32" s="3" t="s">
        <v>123</v>
      </c>
      <c r="AE32" s="3" t="s">
        <v>123</v>
      </c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x14ac:dyDescent="0.25">
      <c r="A33" s="1" t="s">
        <v>3</v>
      </c>
      <c r="B33" s="1">
        <v>22</v>
      </c>
      <c r="C33" s="1" t="s">
        <v>22</v>
      </c>
      <c r="D33" s="1" t="s">
        <v>147</v>
      </c>
      <c r="G33" s="3" t="s">
        <v>123</v>
      </c>
      <c r="H33" s="3" t="s">
        <v>123</v>
      </c>
      <c r="I33" s="3" t="s">
        <v>123</v>
      </c>
      <c r="J33" s="3" t="s">
        <v>123</v>
      </c>
      <c r="K33" s="3" t="s">
        <v>123</v>
      </c>
      <c r="L33" s="3" t="s">
        <v>123</v>
      </c>
      <c r="M33" s="3" t="s">
        <v>123</v>
      </c>
      <c r="N33" s="3" t="s">
        <v>123</v>
      </c>
      <c r="O33" s="3" t="s">
        <v>123</v>
      </c>
      <c r="P33" s="3" t="s">
        <v>123</v>
      </c>
      <c r="Q33" s="3" t="s">
        <v>123</v>
      </c>
      <c r="R33" s="3">
        <v>2</v>
      </c>
      <c r="S33" s="3" t="s">
        <v>123</v>
      </c>
      <c r="T33" s="3" t="s">
        <v>123</v>
      </c>
      <c r="U33" s="3" t="s">
        <v>123</v>
      </c>
      <c r="V33" s="3" t="s">
        <v>123</v>
      </c>
      <c r="W33" s="3" t="s">
        <v>123</v>
      </c>
      <c r="X33" s="3" t="s">
        <v>123</v>
      </c>
      <c r="Y33" s="3" t="s">
        <v>123</v>
      </c>
      <c r="Z33" s="3" t="s">
        <v>123</v>
      </c>
      <c r="AA33" s="3" t="s">
        <v>123</v>
      </c>
      <c r="AB33" s="3" t="s">
        <v>123</v>
      </c>
      <c r="AC33" s="3" t="s">
        <v>123</v>
      </c>
      <c r="AD33" s="3" t="s">
        <v>123</v>
      </c>
      <c r="AE33" s="3">
        <v>2</v>
      </c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x14ac:dyDescent="0.25">
      <c r="A34" s="1" t="s">
        <v>3</v>
      </c>
      <c r="B34" s="1">
        <v>21</v>
      </c>
      <c r="C34" s="1" t="s">
        <v>18</v>
      </c>
      <c r="D34" s="1" t="s">
        <v>148</v>
      </c>
      <c r="G34" s="3" t="s">
        <v>123</v>
      </c>
      <c r="H34" s="3" t="s">
        <v>123</v>
      </c>
      <c r="I34" s="3" t="s">
        <v>123</v>
      </c>
      <c r="J34" s="3" t="s">
        <v>123</v>
      </c>
      <c r="K34" s="3" t="s">
        <v>123</v>
      </c>
      <c r="L34" s="3" t="s">
        <v>123</v>
      </c>
      <c r="M34" s="3" t="s">
        <v>123</v>
      </c>
      <c r="N34" s="3" t="s">
        <v>123</v>
      </c>
      <c r="O34" s="3" t="s">
        <v>123</v>
      </c>
      <c r="P34" s="3" t="s">
        <v>123</v>
      </c>
      <c r="Q34" s="3" t="s">
        <v>123</v>
      </c>
      <c r="R34" s="3">
        <v>2</v>
      </c>
      <c r="S34" s="3" t="s">
        <v>123</v>
      </c>
      <c r="T34" s="3" t="s">
        <v>123</v>
      </c>
      <c r="U34" s="3" t="s">
        <v>123</v>
      </c>
      <c r="V34" s="3" t="s">
        <v>123</v>
      </c>
      <c r="W34" s="3" t="s">
        <v>123</v>
      </c>
      <c r="X34" s="3" t="s">
        <v>123</v>
      </c>
      <c r="Y34" s="3" t="s">
        <v>123</v>
      </c>
      <c r="Z34" s="3" t="s">
        <v>123</v>
      </c>
      <c r="AA34" s="3" t="s">
        <v>123</v>
      </c>
      <c r="AB34" s="3" t="s">
        <v>123</v>
      </c>
      <c r="AC34" s="3" t="s">
        <v>123</v>
      </c>
      <c r="AD34" s="3" t="s">
        <v>123</v>
      </c>
      <c r="AE34" s="3" t="s">
        <v>123</v>
      </c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x14ac:dyDescent="0.25">
      <c r="A35" s="1" t="s">
        <v>3</v>
      </c>
      <c r="B35" s="1">
        <v>14</v>
      </c>
      <c r="C35" s="1" t="s">
        <v>15</v>
      </c>
      <c r="D35" s="1" t="s">
        <v>127</v>
      </c>
      <c r="E35" s="1">
        <v>110</v>
      </c>
      <c r="F35" s="1">
        <v>280</v>
      </c>
      <c r="G35" s="3" t="s">
        <v>123</v>
      </c>
      <c r="H35" s="3">
        <v>1</v>
      </c>
      <c r="I35" s="3" t="s">
        <v>123</v>
      </c>
      <c r="J35" s="3" t="s">
        <v>123</v>
      </c>
      <c r="K35" s="3" t="s">
        <v>123</v>
      </c>
      <c r="L35" s="3" t="s">
        <v>123</v>
      </c>
      <c r="M35" s="3" t="s">
        <v>123</v>
      </c>
      <c r="N35" s="3" t="s">
        <v>123</v>
      </c>
      <c r="O35" s="3" t="s">
        <v>123</v>
      </c>
      <c r="P35" s="3" t="s">
        <v>123</v>
      </c>
      <c r="Q35" s="3" t="s">
        <v>123</v>
      </c>
      <c r="R35" s="3" t="s">
        <v>123</v>
      </c>
      <c r="S35" s="3" t="s">
        <v>123</v>
      </c>
      <c r="T35" s="3" t="s">
        <v>123</v>
      </c>
      <c r="U35" s="3" t="s">
        <v>123</v>
      </c>
      <c r="V35" s="3" t="s">
        <v>123</v>
      </c>
      <c r="W35" s="3" t="s">
        <v>123</v>
      </c>
      <c r="X35" s="3" t="s">
        <v>123</v>
      </c>
      <c r="Y35" s="3" t="s">
        <v>123</v>
      </c>
      <c r="Z35" s="3" t="s">
        <v>123</v>
      </c>
      <c r="AA35" s="3" t="s">
        <v>123</v>
      </c>
      <c r="AB35" s="3">
        <v>1</v>
      </c>
      <c r="AC35" s="3" t="s">
        <v>123</v>
      </c>
      <c r="AD35" s="3" t="s">
        <v>123</v>
      </c>
      <c r="AE35" s="3" t="s">
        <v>123</v>
      </c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x14ac:dyDescent="0.25">
      <c r="A36" s="1" t="s">
        <v>3</v>
      </c>
      <c r="B36" s="1">
        <v>15</v>
      </c>
      <c r="C36" s="1" t="s">
        <v>113</v>
      </c>
      <c r="D36" s="1" t="s">
        <v>142</v>
      </c>
      <c r="E36" s="1">
        <v>130</v>
      </c>
      <c r="F36" s="1">
        <v>300</v>
      </c>
      <c r="G36" s="3" t="s">
        <v>123</v>
      </c>
      <c r="H36" s="3" t="s">
        <v>123</v>
      </c>
      <c r="I36" s="3" t="s">
        <v>123</v>
      </c>
      <c r="J36" s="3" t="s">
        <v>123</v>
      </c>
      <c r="K36" s="3" t="s">
        <v>123</v>
      </c>
      <c r="L36" s="3" t="s">
        <v>123</v>
      </c>
      <c r="M36" s="3" t="s">
        <v>123</v>
      </c>
      <c r="N36" s="3" t="s">
        <v>123</v>
      </c>
      <c r="O36" s="3" t="s">
        <v>123</v>
      </c>
      <c r="P36" s="3" t="s">
        <v>123</v>
      </c>
      <c r="Q36" s="3" t="s">
        <v>123</v>
      </c>
      <c r="R36" s="3" t="s">
        <v>123</v>
      </c>
      <c r="S36" s="3" t="s">
        <v>123</v>
      </c>
      <c r="T36" s="3" t="s">
        <v>123</v>
      </c>
      <c r="U36" s="3" t="s">
        <v>123</v>
      </c>
      <c r="V36" s="3" t="s">
        <v>123</v>
      </c>
      <c r="W36" s="3" t="s">
        <v>123</v>
      </c>
      <c r="X36" s="3" t="s">
        <v>123</v>
      </c>
      <c r="Y36" s="3" t="s">
        <v>123</v>
      </c>
      <c r="Z36" s="3" t="s">
        <v>123</v>
      </c>
      <c r="AA36" s="3">
        <v>1</v>
      </c>
      <c r="AB36" s="3" t="s">
        <v>123</v>
      </c>
      <c r="AC36" s="3" t="s">
        <v>123</v>
      </c>
      <c r="AD36" s="3" t="s">
        <v>123</v>
      </c>
      <c r="AE36" s="3">
        <v>1</v>
      </c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x14ac:dyDescent="0.25">
      <c r="A37" s="1" t="s">
        <v>3</v>
      </c>
      <c r="B37" s="1">
        <v>19</v>
      </c>
      <c r="C37" s="1" t="s">
        <v>114</v>
      </c>
      <c r="D37" s="1" t="s">
        <v>167</v>
      </c>
      <c r="E37" s="1">
        <v>160</v>
      </c>
      <c r="F37" s="1">
        <v>380</v>
      </c>
      <c r="G37" s="3" t="s">
        <v>123</v>
      </c>
      <c r="H37" s="3" t="s">
        <v>123</v>
      </c>
      <c r="I37" s="3" t="s">
        <v>123</v>
      </c>
      <c r="J37" s="3" t="s">
        <v>123</v>
      </c>
      <c r="K37" s="3" t="s">
        <v>123</v>
      </c>
      <c r="L37" s="3" t="s">
        <v>123</v>
      </c>
      <c r="M37" s="3" t="s">
        <v>123</v>
      </c>
      <c r="N37" s="3" t="s">
        <v>123</v>
      </c>
      <c r="O37" s="3" t="s">
        <v>123</v>
      </c>
      <c r="P37" s="3" t="s">
        <v>123</v>
      </c>
      <c r="Q37" s="3" t="s">
        <v>123</v>
      </c>
      <c r="R37" s="3" t="s">
        <v>123</v>
      </c>
      <c r="S37" s="3" t="s">
        <v>123</v>
      </c>
      <c r="T37" s="3" t="s">
        <v>123</v>
      </c>
      <c r="U37" s="3" t="s">
        <v>123</v>
      </c>
      <c r="V37" s="3" t="s">
        <v>123</v>
      </c>
      <c r="W37" s="3" t="s">
        <v>123</v>
      </c>
      <c r="X37" s="3" t="s">
        <v>123</v>
      </c>
      <c r="Y37" s="3">
        <v>2</v>
      </c>
      <c r="Z37" s="3" t="s">
        <v>123</v>
      </c>
      <c r="AA37" s="3" t="s">
        <v>123</v>
      </c>
      <c r="AB37" s="3" t="s">
        <v>123</v>
      </c>
      <c r="AC37" s="3" t="s">
        <v>123</v>
      </c>
      <c r="AD37" s="3" t="s">
        <v>123</v>
      </c>
      <c r="AE37" s="3" t="s">
        <v>123</v>
      </c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x14ac:dyDescent="0.25">
      <c r="A38" s="1" t="s">
        <v>3</v>
      </c>
      <c r="B38" s="1">
        <v>6</v>
      </c>
      <c r="C38" s="1" t="s">
        <v>9</v>
      </c>
      <c r="D38" s="1" t="s">
        <v>168</v>
      </c>
      <c r="E38" s="1">
        <v>45</v>
      </c>
      <c r="F38" s="1">
        <v>120</v>
      </c>
      <c r="G38" s="3" t="s">
        <v>123</v>
      </c>
      <c r="H38" s="3" t="s">
        <v>123</v>
      </c>
      <c r="I38" s="3" t="s">
        <v>123</v>
      </c>
      <c r="J38" s="3" t="s">
        <v>123</v>
      </c>
      <c r="K38" s="3" t="s">
        <v>123</v>
      </c>
      <c r="L38" s="3" t="s">
        <v>123</v>
      </c>
      <c r="M38" s="3" t="s">
        <v>123</v>
      </c>
      <c r="N38" s="3" t="s">
        <v>123</v>
      </c>
      <c r="O38" s="3" t="s">
        <v>123</v>
      </c>
      <c r="P38" s="3" t="s">
        <v>123</v>
      </c>
      <c r="Q38" s="3" t="s">
        <v>123</v>
      </c>
      <c r="R38" s="3" t="s">
        <v>123</v>
      </c>
      <c r="S38" s="3" t="s">
        <v>123</v>
      </c>
      <c r="T38" s="3" t="s">
        <v>123</v>
      </c>
      <c r="U38" s="3" t="s">
        <v>123</v>
      </c>
      <c r="V38" s="3" t="s">
        <v>123</v>
      </c>
      <c r="W38" s="3" t="s">
        <v>123</v>
      </c>
      <c r="X38" s="3" t="s">
        <v>123</v>
      </c>
      <c r="Y38" s="3" t="s">
        <v>123</v>
      </c>
      <c r="Z38" s="3" t="s">
        <v>123</v>
      </c>
      <c r="AA38" s="3" t="s">
        <v>123</v>
      </c>
      <c r="AB38" s="3" t="s">
        <v>123</v>
      </c>
      <c r="AC38" s="3">
        <v>2</v>
      </c>
      <c r="AD38" s="3" t="s">
        <v>123</v>
      </c>
      <c r="AE38" s="3" t="s">
        <v>123</v>
      </c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x14ac:dyDescent="0.25">
      <c r="A39" s="1" t="s">
        <v>3</v>
      </c>
      <c r="B39" s="1">
        <v>17</v>
      </c>
      <c r="C39" s="1" t="s">
        <v>17</v>
      </c>
      <c r="D39" s="1" t="s">
        <v>140</v>
      </c>
      <c r="E39" s="1">
        <v>100</v>
      </c>
      <c r="F39" s="1">
        <v>340</v>
      </c>
      <c r="G39" s="3" t="s">
        <v>123</v>
      </c>
      <c r="H39" s="3" t="s">
        <v>123</v>
      </c>
      <c r="I39" s="3" t="s">
        <v>123</v>
      </c>
      <c r="J39" s="3" t="s">
        <v>123</v>
      </c>
      <c r="K39" s="3" t="s">
        <v>123</v>
      </c>
      <c r="L39" s="3" t="s">
        <v>123</v>
      </c>
      <c r="M39" s="3" t="s">
        <v>123</v>
      </c>
      <c r="N39" s="3" t="s">
        <v>123</v>
      </c>
      <c r="O39" s="3" t="s">
        <v>123</v>
      </c>
      <c r="P39" s="3" t="s">
        <v>123</v>
      </c>
      <c r="Q39" s="3" t="s">
        <v>123</v>
      </c>
      <c r="R39" s="3" t="s">
        <v>123</v>
      </c>
      <c r="S39" s="3" t="s">
        <v>123</v>
      </c>
      <c r="T39" s="3" t="s">
        <v>123</v>
      </c>
      <c r="U39" s="3">
        <v>1</v>
      </c>
      <c r="V39" s="3" t="s">
        <v>123</v>
      </c>
      <c r="W39" s="3" t="s">
        <v>123</v>
      </c>
      <c r="X39" s="3" t="s">
        <v>123</v>
      </c>
      <c r="Y39" s="3" t="s">
        <v>123</v>
      </c>
      <c r="Z39" s="3" t="s">
        <v>123</v>
      </c>
      <c r="AA39" s="3" t="s">
        <v>123</v>
      </c>
      <c r="AB39" s="3" t="s">
        <v>123</v>
      </c>
      <c r="AC39" s="3" t="s">
        <v>123</v>
      </c>
      <c r="AD39" s="3" t="s">
        <v>123</v>
      </c>
      <c r="AE39" s="3" t="s">
        <v>123</v>
      </c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x14ac:dyDescent="0.25">
      <c r="A40" s="1" t="s">
        <v>4</v>
      </c>
      <c r="B40" s="1">
        <v>9</v>
      </c>
      <c r="C40" s="1" t="s">
        <v>115</v>
      </c>
      <c r="D40" s="1" t="s">
        <v>169</v>
      </c>
      <c r="G40" s="3" t="s">
        <v>123</v>
      </c>
      <c r="H40" s="3" t="s">
        <v>123</v>
      </c>
      <c r="I40" s="3" t="s">
        <v>123</v>
      </c>
      <c r="J40" s="3" t="s">
        <v>123</v>
      </c>
      <c r="K40" s="3" t="s">
        <v>123</v>
      </c>
      <c r="L40" s="3" t="s">
        <v>123</v>
      </c>
      <c r="M40" s="3" t="s">
        <v>123</v>
      </c>
      <c r="N40" s="3" t="s">
        <v>123</v>
      </c>
      <c r="O40" s="3" t="s">
        <v>123</v>
      </c>
      <c r="P40" s="3" t="s">
        <v>123</v>
      </c>
      <c r="Q40" s="3" t="s">
        <v>123</v>
      </c>
      <c r="R40" s="3" t="s">
        <v>123</v>
      </c>
      <c r="S40" s="3" t="s">
        <v>123</v>
      </c>
      <c r="T40" s="3" t="s">
        <v>123</v>
      </c>
      <c r="U40" s="3" t="s">
        <v>123</v>
      </c>
      <c r="V40" s="3">
        <v>10</v>
      </c>
      <c r="W40" s="3" t="s">
        <v>123</v>
      </c>
      <c r="X40" s="3" t="s">
        <v>123</v>
      </c>
      <c r="Y40" s="3" t="s">
        <v>123</v>
      </c>
      <c r="Z40" s="3" t="s">
        <v>123</v>
      </c>
      <c r="AA40" s="3" t="s">
        <v>123</v>
      </c>
      <c r="AB40" s="3" t="s">
        <v>123</v>
      </c>
      <c r="AC40" s="3" t="s">
        <v>123</v>
      </c>
      <c r="AD40" s="3" t="s">
        <v>123</v>
      </c>
      <c r="AE40" s="3" t="s">
        <v>123</v>
      </c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x14ac:dyDescent="0.25">
      <c r="A41" s="1" t="s">
        <v>4</v>
      </c>
      <c r="B41" s="1">
        <v>9</v>
      </c>
      <c r="C41" s="1" t="s">
        <v>116</v>
      </c>
      <c r="D41" s="1" t="s">
        <v>170</v>
      </c>
      <c r="E41" s="1">
        <v>45</v>
      </c>
      <c r="F41" s="1">
        <v>180</v>
      </c>
      <c r="G41" s="3" t="s">
        <v>123</v>
      </c>
      <c r="H41" s="3" t="s">
        <v>123</v>
      </c>
      <c r="I41" s="3" t="s">
        <v>123</v>
      </c>
      <c r="J41" s="3" t="s">
        <v>123</v>
      </c>
      <c r="K41" s="3" t="s">
        <v>123</v>
      </c>
      <c r="L41" s="3" t="s">
        <v>123</v>
      </c>
      <c r="M41" s="3" t="s">
        <v>123</v>
      </c>
      <c r="N41" s="3" t="s">
        <v>123</v>
      </c>
      <c r="O41" s="3" t="s">
        <v>123</v>
      </c>
      <c r="P41" s="3" t="s">
        <v>123</v>
      </c>
      <c r="Q41" s="3" t="s">
        <v>123</v>
      </c>
      <c r="R41" s="3" t="s">
        <v>123</v>
      </c>
      <c r="S41" s="3" t="s">
        <v>123</v>
      </c>
      <c r="T41" s="3" t="s">
        <v>123</v>
      </c>
      <c r="U41" s="3" t="s">
        <v>123</v>
      </c>
      <c r="V41" s="3"/>
      <c r="W41" s="3" t="s">
        <v>123</v>
      </c>
      <c r="X41" s="3" t="s">
        <v>123</v>
      </c>
      <c r="Y41" s="3" t="s">
        <v>123</v>
      </c>
      <c r="Z41" s="3" t="s">
        <v>123</v>
      </c>
      <c r="AA41" s="3" t="s">
        <v>123</v>
      </c>
      <c r="AB41" s="3" t="s">
        <v>123</v>
      </c>
      <c r="AC41" s="3" t="s">
        <v>123</v>
      </c>
      <c r="AD41" s="3" t="s">
        <v>123</v>
      </c>
      <c r="AE41" s="3" t="s">
        <v>123</v>
      </c>
      <c r="AF41" s="3"/>
      <c r="AG41" s="3"/>
      <c r="AH41" s="3"/>
      <c r="AI41" s="3"/>
      <c r="AJ41" s="3"/>
      <c r="AK41" s="3"/>
      <c r="AL41" s="3">
        <v>1</v>
      </c>
      <c r="AM41" s="3"/>
      <c r="AN41" s="3"/>
      <c r="AO41" s="3"/>
    </row>
    <row r="42" spans="1:41" x14ac:dyDescent="0.25">
      <c r="A42" s="1" t="s">
        <v>3</v>
      </c>
      <c r="B42" s="1">
        <v>21</v>
      </c>
      <c r="C42" s="1" t="s">
        <v>19</v>
      </c>
      <c r="D42" s="1" t="s">
        <v>149</v>
      </c>
      <c r="G42" s="3" t="s">
        <v>123</v>
      </c>
      <c r="H42" s="3" t="s">
        <v>123</v>
      </c>
      <c r="I42" s="3" t="s">
        <v>123</v>
      </c>
      <c r="J42" s="3" t="s">
        <v>123</v>
      </c>
      <c r="K42" s="3" t="s">
        <v>123</v>
      </c>
      <c r="L42" s="3" t="s">
        <v>123</v>
      </c>
      <c r="M42" s="3">
        <v>1</v>
      </c>
      <c r="N42" s="3" t="s">
        <v>123</v>
      </c>
      <c r="O42" s="3" t="s">
        <v>123</v>
      </c>
      <c r="P42" s="3" t="s">
        <v>123</v>
      </c>
      <c r="Q42" s="3" t="s">
        <v>123</v>
      </c>
      <c r="R42" s="3" t="s">
        <v>123</v>
      </c>
      <c r="S42" s="3" t="s">
        <v>123</v>
      </c>
      <c r="T42" s="3" t="s">
        <v>123</v>
      </c>
      <c r="U42" s="3" t="s">
        <v>123</v>
      </c>
      <c r="V42" s="3" t="s">
        <v>123</v>
      </c>
      <c r="W42" s="3" t="s">
        <v>123</v>
      </c>
      <c r="X42" s="3" t="s">
        <v>123</v>
      </c>
      <c r="Y42" s="3" t="s">
        <v>123</v>
      </c>
      <c r="Z42" s="3">
        <v>1</v>
      </c>
      <c r="AA42" s="3">
        <v>1</v>
      </c>
      <c r="AB42" s="3" t="s">
        <v>123</v>
      </c>
      <c r="AC42" s="3" t="s">
        <v>123</v>
      </c>
      <c r="AD42" s="3" t="s">
        <v>123</v>
      </c>
      <c r="AE42" s="3" t="s">
        <v>123</v>
      </c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x14ac:dyDescent="0.25">
      <c r="A43" s="1" t="s">
        <v>0</v>
      </c>
      <c r="C43" s="1" t="s">
        <v>2</v>
      </c>
      <c r="D43" s="1" t="s">
        <v>125</v>
      </c>
      <c r="E43" s="1">
        <v>75</v>
      </c>
      <c r="F43" s="1">
        <v>20</v>
      </c>
      <c r="G43" s="3" t="s">
        <v>123</v>
      </c>
      <c r="H43" s="3">
        <v>1</v>
      </c>
      <c r="I43" s="3" t="s">
        <v>123</v>
      </c>
      <c r="J43" s="3" t="s">
        <v>123</v>
      </c>
      <c r="K43" s="3" t="s">
        <v>123</v>
      </c>
      <c r="L43" s="3" t="s">
        <v>123</v>
      </c>
      <c r="M43" s="3" t="s">
        <v>123</v>
      </c>
      <c r="N43" s="3" t="s">
        <v>123</v>
      </c>
      <c r="O43" s="3" t="s">
        <v>123</v>
      </c>
      <c r="P43" s="3" t="s">
        <v>123</v>
      </c>
      <c r="Q43" s="3" t="s">
        <v>123</v>
      </c>
      <c r="R43" s="3" t="s">
        <v>123</v>
      </c>
      <c r="S43" s="3">
        <v>1</v>
      </c>
      <c r="T43" s="3" t="s">
        <v>123</v>
      </c>
      <c r="U43" s="3" t="s">
        <v>123</v>
      </c>
      <c r="V43" s="3" t="s">
        <v>123</v>
      </c>
      <c r="W43" s="3" t="s">
        <v>123</v>
      </c>
      <c r="X43" s="3" t="s">
        <v>123</v>
      </c>
      <c r="Y43" s="3" t="s">
        <v>123</v>
      </c>
      <c r="Z43" s="3" t="s">
        <v>123</v>
      </c>
      <c r="AA43" s="3" t="s">
        <v>123</v>
      </c>
      <c r="AB43" s="3" t="s">
        <v>123</v>
      </c>
      <c r="AC43" s="3" t="s">
        <v>123</v>
      </c>
      <c r="AD43" s="3">
        <v>1</v>
      </c>
      <c r="AE43" s="3" t="s">
        <v>123</v>
      </c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x14ac:dyDescent="0.25">
      <c r="A44" s="1" t="s">
        <v>3</v>
      </c>
      <c r="C44" s="1" t="s">
        <v>117</v>
      </c>
      <c r="D44" s="1" t="s">
        <v>126</v>
      </c>
      <c r="E44" s="1">
        <v>175</v>
      </c>
      <c r="F44" s="1">
        <v>300</v>
      </c>
      <c r="G44" s="3" t="s">
        <v>123</v>
      </c>
      <c r="H44" s="3">
        <v>1</v>
      </c>
      <c r="I44" s="3" t="s">
        <v>123</v>
      </c>
      <c r="J44" s="3" t="s">
        <v>123</v>
      </c>
      <c r="K44" s="3" t="s">
        <v>123</v>
      </c>
      <c r="L44" s="3" t="s">
        <v>123</v>
      </c>
      <c r="M44" s="3" t="s">
        <v>123</v>
      </c>
      <c r="N44" s="3" t="s">
        <v>123</v>
      </c>
      <c r="O44" s="3" t="s">
        <v>123</v>
      </c>
      <c r="P44" s="3" t="s">
        <v>123</v>
      </c>
      <c r="Q44" s="3" t="s">
        <v>123</v>
      </c>
      <c r="R44" s="3" t="s">
        <v>123</v>
      </c>
      <c r="S44" s="3" t="s">
        <v>123</v>
      </c>
      <c r="T44" s="3" t="s">
        <v>123</v>
      </c>
      <c r="U44" s="3" t="s">
        <v>123</v>
      </c>
      <c r="V44" s="3" t="s">
        <v>123</v>
      </c>
      <c r="W44" s="3" t="s">
        <v>123</v>
      </c>
      <c r="X44" s="3" t="s">
        <v>123</v>
      </c>
      <c r="Y44" s="3">
        <v>1</v>
      </c>
      <c r="Z44" s="3" t="s">
        <v>123</v>
      </c>
      <c r="AA44" s="3" t="s">
        <v>123</v>
      </c>
      <c r="AB44" s="3" t="s">
        <v>123</v>
      </c>
      <c r="AC44" s="3" t="s">
        <v>123</v>
      </c>
      <c r="AD44" s="3" t="s">
        <v>123</v>
      </c>
      <c r="AE44" s="3">
        <v>1</v>
      </c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x14ac:dyDescent="0.25">
      <c r="A45" s="1" t="s">
        <v>3</v>
      </c>
      <c r="B45" s="1">
        <v>24</v>
      </c>
      <c r="C45" s="1" t="s">
        <v>24</v>
      </c>
      <c r="D45" s="1" t="s">
        <v>150</v>
      </c>
      <c r="G45" s="3" t="s">
        <v>123</v>
      </c>
      <c r="H45" s="3" t="s">
        <v>123</v>
      </c>
      <c r="I45" s="3" t="s">
        <v>123</v>
      </c>
      <c r="J45" s="3" t="s">
        <v>123</v>
      </c>
      <c r="K45" s="3" t="s">
        <v>123</v>
      </c>
      <c r="L45" s="3" t="s">
        <v>123</v>
      </c>
      <c r="M45" s="3" t="s">
        <v>123</v>
      </c>
      <c r="N45" s="3">
        <v>1</v>
      </c>
      <c r="O45" s="3" t="s">
        <v>123</v>
      </c>
      <c r="P45" s="3" t="s">
        <v>123</v>
      </c>
      <c r="Q45" s="3" t="s">
        <v>123</v>
      </c>
      <c r="R45" s="3" t="s">
        <v>123</v>
      </c>
      <c r="S45" s="3" t="s">
        <v>123</v>
      </c>
      <c r="T45" s="3" t="s">
        <v>123</v>
      </c>
      <c r="U45" s="3" t="s">
        <v>123</v>
      </c>
      <c r="V45" s="3" t="s">
        <v>123</v>
      </c>
      <c r="W45" s="3">
        <v>1</v>
      </c>
      <c r="X45" s="3" t="s">
        <v>123</v>
      </c>
      <c r="Y45" s="3" t="s">
        <v>123</v>
      </c>
      <c r="Z45" s="3" t="s">
        <v>123</v>
      </c>
      <c r="AA45" s="3" t="s">
        <v>123</v>
      </c>
      <c r="AB45" s="3" t="s">
        <v>123</v>
      </c>
      <c r="AC45" s="3" t="s">
        <v>123</v>
      </c>
      <c r="AD45" s="3" t="s">
        <v>123</v>
      </c>
      <c r="AE45" s="3" t="s">
        <v>123</v>
      </c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x14ac:dyDescent="0.25">
      <c r="A46" s="1" t="s">
        <v>0</v>
      </c>
      <c r="B46" s="1">
        <v>23</v>
      </c>
      <c r="C46" s="1" t="s">
        <v>23</v>
      </c>
      <c r="D46" s="1" t="s">
        <v>151</v>
      </c>
      <c r="G46" s="3" t="s">
        <v>123</v>
      </c>
      <c r="H46" s="3" t="s">
        <v>123</v>
      </c>
      <c r="I46" s="3" t="s">
        <v>123</v>
      </c>
      <c r="J46" s="3" t="s">
        <v>123</v>
      </c>
      <c r="K46" s="3" t="s">
        <v>123</v>
      </c>
      <c r="L46" s="3">
        <v>1</v>
      </c>
      <c r="M46" s="3" t="s">
        <v>123</v>
      </c>
      <c r="N46" s="3" t="s">
        <v>123</v>
      </c>
      <c r="O46" s="3" t="s">
        <v>123</v>
      </c>
      <c r="P46" s="3" t="s">
        <v>123</v>
      </c>
      <c r="Q46" s="3" t="s">
        <v>123</v>
      </c>
      <c r="R46" s="3" t="s">
        <v>123</v>
      </c>
      <c r="S46" s="3" t="s">
        <v>123</v>
      </c>
      <c r="T46" s="3" t="s">
        <v>123</v>
      </c>
      <c r="U46" s="3" t="s">
        <v>123</v>
      </c>
      <c r="V46" s="3" t="s">
        <v>123</v>
      </c>
      <c r="W46" s="3" t="s">
        <v>123</v>
      </c>
      <c r="X46" s="3" t="s">
        <v>123</v>
      </c>
      <c r="Y46" s="3" t="s">
        <v>123</v>
      </c>
      <c r="Z46" s="3" t="s">
        <v>123</v>
      </c>
      <c r="AA46" s="3" t="s">
        <v>123</v>
      </c>
      <c r="AB46" s="3" t="s">
        <v>123</v>
      </c>
      <c r="AC46" s="3">
        <v>1</v>
      </c>
      <c r="AD46" s="3">
        <v>1</v>
      </c>
      <c r="AE46" s="3" t="s">
        <v>123</v>
      </c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x14ac:dyDescent="0.25">
      <c r="A47" s="1" t="s">
        <v>0</v>
      </c>
      <c r="B47" s="1">
        <v>11</v>
      </c>
      <c r="C47" s="1" t="s">
        <v>12</v>
      </c>
      <c r="D47" s="1" t="s">
        <v>133</v>
      </c>
      <c r="E47" s="1">
        <v>150</v>
      </c>
      <c r="F47" s="1">
        <v>220</v>
      </c>
      <c r="G47" s="3" t="s">
        <v>123</v>
      </c>
      <c r="H47" s="3" t="s">
        <v>123</v>
      </c>
      <c r="I47" s="3" t="s">
        <v>123</v>
      </c>
      <c r="J47" s="3" t="s">
        <v>123</v>
      </c>
      <c r="K47" s="3" t="s">
        <v>123</v>
      </c>
      <c r="L47" s="3">
        <v>1</v>
      </c>
      <c r="M47" s="3" t="s">
        <v>123</v>
      </c>
      <c r="N47" s="3" t="s">
        <v>123</v>
      </c>
      <c r="O47" s="3" t="s">
        <v>123</v>
      </c>
      <c r="P47" s="3" t="s">
        <v>123</v>
      </c>
      <c r="Q47" s="3" t="s">
        <v>123</v>
      </c>
      <c r="R47" s="3" t="s">
        <v>123</v>
      </c>
      <c r="S47" s="3" t="s">
        <v>123</v>
      </c>
      <c r="T47" s="3" t="s">
        <v>123</v>
      </c>
      <c r="U47" s="3">
        <v>1</v>
      </c>
      <c r="V47" s="3" t="s">
        <v>123</v>
      </c>
      <c r="W47" s="3" t="s">
        <v>123</v>
      </c>
      <c r="X47" s="3" t="s">
        <v>123</v>
      </c>
      <c r="Y47" s="3" t="s">
        <v>123</v>
      </c>
      <c r="Z47" s="3" t="s">
        <v>123</v>
      </c>
      <c r="AA47" s="3" t="s">
        <v>123</v>
      </c>
      <c r="AB47" s="3" t="s">
        <v>123</v>
      </c>
      <c r="AC47" s="3" t="s">
        <v>123</v>
      </c>
      <c r="AD47" s="3">
        <v>1</v>
      </c>
      <c r="AE47" s="3" t="s">
        <v>123</v>
      </c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x14ac:dyDescent="0.25">
      <c r="A48" s="1" t="s">
        <v>4</v>
      </c>
      <c r="B48" s="1">
        <v>16</v>
      </c>
      <c r="C48" s="1" t="s">
        <v>118</v>
      </c>
      <c r="D48" s="1" t="s">
        <v>171</v>
      </c>
      <c r="G48" s="3" t="s">
        <v>123</v>
      </c>
      <c r="H48" s="3" t="s">
        <v>123</v>
      </c>
      <c r="I48" s="3"/>
      <c r="J48" s="3">
        <v>1</v>
      </c>
      <c r="K48" s="3" t="s">
        <v>123</v>
      </c>
      <c r="L48" s="3" t="s">
        <v>123</v>
      </c>
      <c r="M48" s="3" t="s">
        <v>123</v>
      </c>
      <c r="N48" s="3" t="s">
        <v>123</v>
      </c>
      <c r="O48" s="3" t="s">
        <v>123</v>
      </c>
      <c r="P48" s="3" t="s">
        <v>123</v>
      </c>
      <c r="Q48" s="3" t="s">
        <v>123</v>
      </c>
      <c r="R48" s="3" t="s">
        <v>123</v>
      </c>
      <c r="S48" s="3" t="s">
        <v>123</v>
      </c>
      <c r="T48" s="3" t="s">
        <v>123</v>
      </c>
      <c r="U48" s="3" t="s">
        <v>123</v>
      </c>
      <c r="V48" s="3" t="s">
        <v>123</v>
      </c>
      <c r="W48" s="3" t="s">
        <v>123</v>
      </c>
      <c r="X48" s="3" t="s">
        <v>123</v>
      </c>
      <c r="Y48" s="3" t="s">
        <v>123</v>
      </c>
      <c r="Z48" s="3" t="s">
        <v>123</v>
      </c>
      <c r="AA48" s="3" t="s">
        <v>123</v>
      </c>
      <c r="AB48" s="3" t="s">
        <v>123</v>
      </c>
      <c r="AC48" s="3" t="s">
        <v>123</v>
      </c>
      <c r="AD48" s="3" t="s">
        <v>123</v>
      </c>
      <c r="AE48" s="3" t="s">
        <v>123</v>
      </c>
      <c r="AF48" s="3"/>
      <c r="AG48" s="3"/>
      <c r="AH48" s="3"/>
      <c r="AI48" s="3"/>
      <c r="AJ48" s="3"/>
      <c r="AK48" s="3"/>
      <c r="AL48" s="3"/>
      <c r="AM48" s="3"/>
      <c r="AN48" s="3"/>
      <c r="AO48" s="3"/>
    </row>
    <row r="49" spans="1:41" x14ac:dyDescent="0.25">
      <c r="A49" s="1" t="s">
        <v>4</v>
      </c>
      <c r="B49" s="1">
        <v>16</v>
      </c>
      <c r="C49" s="1" t="s">
        <v>119</v>
      </c>
      <c r="D49" s="1" t="s">
        <v>143</v>
      </c>
      <c r="E49" s="1">
        <v>81</v>
      </c>
      <c r="F49" s="1">
        <v>320</v>
      </c>
      <c r="G49" s="3" t="s">
        <v>123</v>
      </c>
      <c r="H49" s="3" t="s">
        <v>123</v>
      </c>
      <c r="I49" s="3" t="s">
        <v>123</v>
      </c>
      <c r="J49" s="3" t="s">
        <v>123</v>
      </c>
      <c r="K49" s="3" t="s">
        <v>123</v>
      </c>
      <c r="L49" s="3" t="s">
        <v>123</v>
      </c>
      <c r="M49" s="3" t="s">
        <v>123</v>
      </c>
      <c r="N49" s="3" t="s">
        <v>123</v>
      </c>
      <c r="O49" s="3" t="s">
        <v>123</v>
      </c>
      <c r="P49" s="3" t="s">
        <v>123</v>
      </c>
      <c r="Q49" s="3" t="s">
        <v>123</v>
      </c>
      <c r="R49" s="3" t="s">
        <v>123</v>
      </c>
      <c r="S49" s="3" t="s">
        <v>123</v>
      </c>
      <c r="T49" s="3" t="s">
        <v>123</v>
      </c>
      <c r="U49" s="3" t="s">
        <v>123</v>
      </c>
      <c r="V49" s="3" t="s">
        <v>123</v>
      </c>
      <c r="W49" s="3" t="s">
        <v>123</v>
      </c>
      <c r="X49" s="3" t="s">
        <v>123</v>
      </c>
      <c r="Y49" s="3" t="s">
        <v>123</v>
      </c>
      <c r="Z49" s="3" t="s">
        <v>123</v>
      </c>
      <c r="AA49" s="3" t="s">
        <v>123</v>
      </c>
      <c r="AB49" s="3" t="s">
        <v>123</v>
      </c>
      <c r="AC49" s="3" t="s">
        <v>123</v>
      </c>
      <c r="AD49" s="3" t="s">
        <v>123</v>
      </c>
      <c r="AE49" s="3" t="s">
        <v>123</v>
      </c>
      <c r="AF49" s="3"/>
      <c r="AG49" s="3"/>
      <c r="AH49" s="3"/>
      <c r="AI49" s="3"/>
      <c r="AJ49" s="3"/>
      <c r="AK49" s="3"/>
      <c r="AL49" s="3"/>
      <c r="AM49" s="3">
        <v>1</v>
      </c>
      <c r="AN49" s="3"/>
      <c r="AO49" s="3"/>
    </row>
    <row r="50" spans="1:41" x14ac:dyDescent="0.25">
      <c r="A50" s="1" t="s">
        <v>26</v>
      </c>
      <c r="B50" s="1">
        <v>24</v>
      </c>
      <c r="C50" s="1" t="s">
        <v>25</v>
      </c>
      <c r="D50" s="1" t="s">
        <v>152</v>
      </c>
      <c r="G50" s="3">
        <v>1</v>
      </c>
      <c r="H50" s="3" t="s">
        <v>123</v>
      </c>
      <c r="I50" s="3" t="s">
        <v>123</v>
      </c>
      <c r="J50" s="3" t="s">
        <v>123</v>
      </c>
      <c r="K50" s="3" t="s">
        <v>123</v>
      </c>
      <c r="L50" s="3" t="s">
        <v>123</v>
      </c>
      <c r="M50" s="3" t="s">
        <v>123</v>
      </c>
      <c r="N50" s="3" t="s">
        <v>123</v>
      </c>
      <c r="O50" s="3" t="s">
        <v>123</v>
      </c>
      <c r="P50" s="3" t="s">
        <v>123</v>
      </c>
      <c r="Q50" s="3" t="s">
        <v>123</v>
      </c>
      <c r="R50" s="3" t="s">
        <v>123</v>
      </c>
      <c r="S50" s="3" t="s">
        <v>123</v>
      </c>
      <c r="T50" s="3" t="s">
        <v>123</v>
      </c>
      <c r="U50" s="3" t="s">
        <v>123</v>
      </c>
      <c r="V50" s="3" t="s">
        <v>123</v>
      </c>
      <c r="W50" s="3" t="s">
        <v>123</v>
      </c>
      <c r="X50" s="3" t="s">
        <v>123</v>
      </c>
      <c r="Y50" s="3" t="s">
        <v>123</v>
      </c>
      <c r="Z50" s="3" t="s">
        <v>123</v>
      </c>
      <c r="AA50" s="3">
        <v>1</v>
      </c>
      <c r="AB50" s="3">
        <v>1</v>
      </c>
      <c r="AC50" s="3" t="s">
        <v>123</v>
      </c>
      <c r="AD50" s="3" t="s">
        <v>123</v>
      </c>
      <c r="AE50" s="3" t="s">
        <v>123</v>
      </c>
      <c r="AF50" s="3"/>
      <c r="AG50" s="3"/>
      <c r="AH50" s="3"/>
      <c r="AI50" s="3"/>
      <c r="AJ50" s="3"/>
      <c r="AK50" s="3"/>
      <c r="AL50" s="3"/>
      <c r="AM50" s="3"/>
      <c r="AN50" s="3"/>
      <c r="AO50" s="3"/>
    </row>
    <row r="51" spans="1:41" x14ac:dyDescent="0.25">
      <c r="A51" s="1" t="s">
        <v>4</v>
      </c>
      <c r="B51" s="1">
        <v>13</v>
      </c>
      <c r="C51" s="1" t="s">
        <v>120</v>
      </c>
      <c r="D51" s="1" t="s">
        <v>170</v>
      </c>
      <c r="G51" s="3" t="s">
        <v>123</v>
      </c>
      <c r="H51" s="3" t="s">
        <v>123</v>
      </c>
      <c r="I51" s="3" t="s">
        <v>123</v>
      </c>
      <c r="J51" s="3" t="s">
        <v>123</v>
      </c>
      <c r="K51" s="3" t="s">
        <v>123</v>
      </c>
      <c r="L51" s="3" t="s">
        <v>123</v>
      </c>
      <c r="M51" s="3" t="s">
        <v>123</v>
      </c>
      <c r="N51" s="3" t="s">
        <v>123</v>
      </c>
      <c r="O51" s="3" t="s">
        <v>123</v>
      </c>
      <c r="P51" s="3" t="s">
        <v>123</v>
      </c>
      <c r="Q51" s="3" t="s">
        <v>123</v>
      </c>
      <c r="R51" s="3" t="s">
        <v>123</v>
      </c>
      <c r="S51" s="3" t="s">
        <v>123</v>
      </c>
      <c r="T51" s="3" t="s">
        <v>123</v>
      </c>
      <c r="U51" s="3" t="s">
        <v>123</v>
      </c>
      <c r="V51" s="3"/>
      <c r="W51" s="3" t="s">
        <v>123</v>
      </c>
      <c r="X51" s="3" t="s">
        <v>123</v>
      </c>
      <c r="Y51" s="3" t="s">
        <v>123</v>
      </c>
      <c r="Z51" s="3" t="s">
        <v>123</v>
      </c>
      <c r="AA51" s="3" t="s">
        <v>123</v>
      </c>
      <c r="AB51" s="3" t="s">
        <v>123</v>
      </c>
      <c r="AC51" s="3" t="s">
        <v>123</v>
      </c>
      <c r="AD51" s="3" t="s">
        <v>123</v>
      </c>
      <c r="AE51" s="3" t="s">
        <v>123</v>
      </c>
      <c r="AF51" s="3"/>
      <c r="AG51" s="3"/>
      <c r="AH51" s="3"/>
      <c r="AI51" s="3"/>
      <c r="AJ51" s="3"/>
      <c r="AK51" s="3"/>
      <c r="AL51" s="3">
        <v>1</v>
      </c>
      <c r="AM51" s="3"/>
      <c r="AN51" s="3"/>
      <c r="AO51" s="3"/>
    </row>
    <row r="52" spans="1:41" x14ac:dyDescent="0.25">
      <c r="A52" s="1" t="s">
        <v>4</v>
      </c>
      <c r="B52" s="1">
        <v>13</v>
      </c>
      <c r="C52" s="1" t="s">
        <v>121</v>
      </c>
      <c r="D52" s="1" t="s">
        <v>144</v>
      </c>
      <c r="E52" s="1">
        <v>67</v>
      </c>
      <c r="F52" s="1">
        <v>260</v>
      </c>
      <c r="G52" s="3" t="s">
        <v>123</v>
      </c>
      <c r="H52" s="3" t="s">
        <v>123</v>
      </c>
      <c r="I52" s="3" t="s">
        <v>123</v>
      </c>
      <c r="J52" s="3" t="s">
        <v>123</v>
      </c>
      <c r="K52" s="3" t="s">
        <v>123</v>
      </c>
      <c r="L52" s="3" t="s">
        <v>123</v>
      </c>
      <c r="M52" s="3" t="s">
        <v>123</v>
      </c>
      <c r="N52" s="3" t="s">
        <v>123</v>
      </c>
      <c r="O52" s="3" t="s">
        <v>123</v>
      </c>
      <c r="P52" s="3" t="s">
        <v>123</v>
      </c>
      <c r="Q52" s="3" t="s">
        <v>123</v>
      </c>
      <c r="R52" s="3" t="s">
        <v>123</v>
      </c>
      <c r="S52" s="3" t="s">
        <v>123</v>
      </c>
      <c r="T52" s="3" t="s">
        <v>123</v>
      </c>
      <c r="U52" s="3" t="s">
        <v>123</v>
      </c>
      <c r="V52" s="3" t="s">
        <v>123</v>
      </c>
      <c r="W52" s="3" t="s">
        <v>123</v>
      </c>
      <c r="X52" s="3" t="s">
        <v>123</v>
      </c>
      <c r="Y52" s="3" t="s">
        <v>123</v>
      </c>
      <c r="Z52" s="3" t="s">
        <v>123</v>
      </c>
      <c r="AA52" s="3" t="s">
        <v>123</v>
      </c>
      <c r="AB52" s="3" t="s">
        <v>123</v>
      </c>
      <c r="AC52" s="3" t="s">
        <v>123</v>
      </c>
      <c r="AD52" s="3" t="s">
        <v>123</v>
      </c>
      <c r="AE52" s="3" t="s">
        <v>123</v>
      </c>
      <c r="AF52" s="3"/>
      <c r="AG52" s="3"/>
      <c r="AH52" s="3"/>
      <c r="AI52" s="3"/>
      <c r="AJ52" s="3"/>
      <c r="AK52" s="3"/>
      <c r="AL52" s="3"/>
      <c r="AM52" s="3"/>
      <c r="AN52" s="3">
        <v>1</v>
      </c>
      <c r="AO52" s="3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IngredientsColumn">
                <anchor moveWithCells="1">
                  <from>
                    <xdr:col>3</xdr:col>
                    <xdr:colOff>171450</xdr:colOff>
                    <xdr:row>0</xdr:row>
                    <xdr:rowOff>400050</xdr:rowOff>
                  </from>
                  <to>
                    <xdr:col>3</xdr:col>
                    <xdr:colOff>1971675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128BA-CC75-4A5F-BFAA-8994A44F4CD7}">
  <sheetPr codeName="Sheet2"/>
  <dimension ref="B1:M18"/>
  <sheetViews>
    <sheetView topLeftCell="A2" workbookViewId="0">
      <selection activeCell="H13" sqref="H13"/>
    </sheetView>
  </sheetViews>
  <sheetFormatPr defaultRowHeight="15" x14ac:dyDescent="0.25"/>
  <cols>
    <col min="1" max="1" width="1.28515625" style="1" customWidth="1"/>
    <col min="2" max="2" width="26.7109375" style="1" bestFit="1" customWidth="1"/>
    <col min="3" max="3" width="40" style="1" bestFit="1" customWidth="1"/>
    <col min="4" max="4" width="32.28515625" style="1" bestFit="1" customWidth="1"/>
    <col min="5" max="5" width="12.85546875" style="1" customWidth="1"/>
    <col min="6" max="6" width="15.28515625" style="1" customWidth="1"/>
    <col min="7" max="7" width="13.5703125" style="1" customWidth="1"/>
    <col min="8" max="8" width="14.85546875" style="1" customWidth="1"/>
    <col min="9" max="9" width="16.28515625" style="1" customWidth="1"/>
    <col min="10" max="16384" width="9.140625" style="1"/>
  </cols>
  <sheetData>
    <row r="1" spans="2:13" ht="3.75" customHeight="1" x14ac:dyDescent="0.25"/>
    <row r="2" spans="2:13" ht="105.75" x14ac:dyDescent="0.25">
      <c r="B2" s="1" t="s">
        <v>27</v>
      </c>
      <c r="C2" s="1" t="s">
        <v>28</v>
      </c>
      <c r="D2" s="1" t="s">
        <v>29</v>
      </c>
      <c r="E2" s="2" t="s">
        <v>61</v>
      </c>
      <c r="F2" s="2" t="s">
        <v>63</v>
      </c>
      <c r="G2" s="2" t="s">
        <v>62</v>
      </c>
      <c r="H2" s="2" t="s">
        <v>59</v>
      </c>
      <c r="I2" s="2" t="s">
        <v>60</v>
      </c>
      <c r="J2" s="2" t="s">
        <v>57</v>
      </c>
      <c r="K2" s="2" t="s">
        <v>58</v>
      </c>
      <c r="L2" s="2" t="s">
        <v>64</v>
      </c>
      <c r="M2" s="1" t="s">
        <v>30</v>
      </c>
    </row>
    <row r="3" spans="2:13" x14ac:dyDescent="0.25">
      <c r="B3" t="s">
        <v>31</v>
      </c>
      <c r="C3" t="s">
        <v>32</v>
      </c>
      <c r="D3" t="str" cm="1">
        <f t="array" ref="D3">_xlfn.TEXTJOIN(", ", TRUE, _xlfn._xlws.FILTER(E$2:L$2, E3:L3&lt;&gt;""))</f>
        <v>Ghoul eye, Hound claw</v>
      </c>
      <c r="G3" s="1">
        <v>1</v>
      </c>
      <c r="H3" s="1">
        <v>1</v>
      </c>
      <c r="M3">
        <v>300</v>
      </c>
    </row>
    <row r="4" spans="2:13" x14ac:dyDescent="0.25">
      <c r="B4" s="6" t="s">
        <v>33</v>
      </c>
      <c r="C4" t="s">
        <v>34</v>
      </c>
      <c r="D4" t="str" cm="1">
        <f t="array" ref="D4">_xlfn.TEXTJOIN(", ", TRUE, _xlfn._xlws.FILTER(E$2:L$2, E4:L4&lt;&gt;""))</f>
        <v>Turtle shell, Venom gland</v>
      </c>
      <c r="J4" s="1">
        <v>1</v>
      </c>
      <c r="K4" s="1">
        <v>1</v>
      </c>
      <c r="M4">
        <v>135</v>
      </c>
    </row>
    <row r="5" spans="2:13" x14ac:dyDescent="0.25">
      <c r="B5" t="s">
        <v>35</v>
      </c>
      <c r="C5" t="s">
        <v>65</v>
      </c>
      <c r="D5" t="str" cm="1">
        <f t="array" ref="D5">_xlfn.TEXTJOIN(", ", TRUE, _xlfn._xlws.FILTER(E$2:L$2, E5:L5&lt;&gt;""))</f>
        <v>Amanita mushroom , Wolf fang</v>
      </c>
      <c r="E5" s="1">
        <v>1</v>
      </c>
      <c r="L5" s="1">
        <v>1</v>
      </c>
      <c r="M5">
        <v>75</v>
      </c>
    </row>
    <row r="6" spans="2:13" x14ac:dyDescent="0.25">
      <c r="B6" t="s">
        <v>36</v>
      </c>
      <c r="C6" t="s">
        <v>37</v>
      </c>
      <c r="D6" t="str" cm="1">
        <f t="array" ref="D6">_xlfn.TEXTJOIN(", ", TRUE, _xlfn._xlws.FILTER(E$2:L$2, E6:L6&lt;&gt;""))</f>
        <v>Turtle shell, Wolf fang</v>
      </c>
      <c r="J6" s="1">
        <v>1</v>
      </c>
      <c r="L6" s="1">
        <v>1</v>
      </c>
      <c r="M6">
        <v>100</v>
      </c>
    </row>
    <row r="7" spans="2:13" x14ac:dyDescent="0.25">
      <c r="B7" s="6" t="s">
        <v>38</v>
      </c>
      <c r="C7" t="s">
        <v>68</v>
      </c>
      <c r="D7" t="str" cm="1">
        <f t="array" ref="D7">_xlfn.TEXTJOIN(", ", TRUE, _xlfn._xlws.FILTER(E$2:L$2, E7:L7&lt;&gt;""))</f>
        <v>Puffer fish, Wolf fang</v>
      </c>
      <c r="I7" s="1">
        <v>1</v>
      </c>
      <c r="L7" s="1">
        <v>1</v>
      </c>
      <c r="M7">
        <v>100</v>
      </c>
    </row>
    <row r="8" spans="2:13" x14ac:dyDescent="0.25">
      <c r="B8" t="s">
        <v>39</v>
      </c>
      <c r="C8" t="s">
        <v>40</v>
      </c>
      <c r="D8" t="str" cm="1">
        <f t="array" ref="D8">_xlfn.TEXTJOIN(", ", TRUE, _xlfn._xlws.FILTER(E$2:L$2, E8:L8&lt;&gt;""))</f>
        <v>Bear liver, Venom gland</v>
      </c>
      <c r="F8" s="1">
        <v>1</v>
      </c>
      <c r="K8" s="1">
        <v>1</v>
      </c>
      <c r="M8">
        <v>120</v>
      </c>
    </row>
    <row r="9" spans="2:13" x14ac:dyDescent="0.25">
      <c r="B9" t="s">
        <v>41</v>
      </c>
      <c r="C9" t="s">
        <v>42</v>
      </c>
      <c r="D9" t="str" cm="1">
        <f t="array" ref="D9">_xlfn.TEXTJOIN(", ", TRUE, _xlfn._xlws.FILTER(E$2:L$2, E9:L9&lt;&gt;""))</f>
        <v>Hound claw, Turtle shell</v>
      </c>
      <c r="H9" s="1">
        <v>1</v>
      </c>
      <c r="J9" s="1">
        <v>1</v>
      </c>
      <c r="M9">
        <v>230</v>
      </c>
    </row>
    <row r="10" spans="2:13" x14ac:dyDescent="0.25">
      <c r="B10" s="6" t="s">
        <v>43</v>
      </c>
      <c r="C10" t="s">
        <v>44</v>
      </c>
      <c r="D10" t="str" cm="1">
        <f t="array" ref="D10">_xlfn.TEXTJOIN(", ", TRUE, _xlfn._xlws.FILTER(E$2:L$2, E10:L10&lt;&gt;""))</f>
        <v>Bear liver, Puffer fish</v>
      </c>
      <c r="F10" s="1">
        <v>1</v>
      </c>
      <c r="I10" s="1">
        <v>1</v>
      </c>
      <c r="M10">
        <v>135</v>
      </c>
    </row>
    <row r="11" spans="2:13" x14ac:dyDescent="0.25">
      <c r="B11" t="s">
        <v>45</v>
      </c>
      <c r="C11" t="s">
        <v>46</v>
      </c>
      <c r="D11" t="str" cm="1">
        <f t="array" ref="D11">_xlfn.TEXTJOIN(", ", TRUE, _xlfn._xlws.FILTER(E$2:L$2, E11:L11&lt;&gt;""))</f>
        <v>Bear liver, Ghoul eye</v>
      </c>
      <c r="F11" s="1">
        <v>1</v>
      </c>
      <c r="G11" s="1">
        <v>1</v>
      </c>
      <c r="M11">
        <v>220</v>
      </c>
    </row>
    <row r="12" spans="2:13" x14ac:dyDescent="0.25">
      <c r="B12" s="6" t="s">
        <v>47</v>
      </c>
      <c r="C12" t="s">
        <v>66</v>
      </c>
      <c r="D12" t="str" cm="1">
        <f t="array" ref="D12">_xlfn.TEXTJOIN(", ", TRUE, _xlfn._xlws.FILTER(E$2:L$2, E12:L12&lt;&gt;""))</f>
        <v>Amanita mushroom , Bear liver</v>
      </c>
      <c r="E12" s="1">
        <v>1</v>
      </c>
      <c r="F12" s="1">
        <v>1</v>
      </c>
      <c r="M12">
        <v>180</v>
      </c>
    </row>
    <row r="13" spans="2:13" x14ac:dyDescent="0.25">
      <c r="B13" t="s">
        <v>48</v>
      </c>
      <c r="C13" t="s">
        <v>32</v>
      </c>
      <c r="D13" t="str" cm="1">
        <f t="array" ref="D13">_xlfn.TEXTJOIN(", ", TRUE, _xlfn._xlws.FILTER(E$2:L$2, E13:L13&lt;&gt;""))</f>
        <v>Puffer fish, Venom gland</v>
      </c>
      <c r="I13" s="1">
        <v>1</v>
      </c>
      <c r="K13" s="1">
        <v>1</v>
      </c>
      <c r="M13">
        <v>120</v>
      </c>
    </row>
    <row r="14" spans="2:13" x14ac:dyDescent="0.25">
      <c r="B14" s="6" t="s">
        <v>49</v>
      </c>
      <c r="C14" t="s">
        <v>50</v>
      </c>
      <c r="D14" t="str" cm="1">
        <f t="array" ref="D14">_xlfn.TEXTJOIN(", ", TRUE, _xlfn._xlws.FILTER(E$2:L$2, E14:L14&lt;&gt;""))</f>
        <v>Venom gland, Wolf fang</v>
      </c>
      <c r="K14" s="1">
        <v>1</v>
      </c>
      <c r="L14" s="1">
        <v>1</v>
      </c>
      <c r="M14">
        <v>105</v>
      </c>
    </row>
    <row r="15" spans="2:13" x14ac:dyDescent="0.25">
      <c r="B15" t="s">
        <v>51</v>
      </c>
      <c r="C15" t="s">
        <v>52</v>
      </c>
      <c r="D15" t="str" cm="1">
        <f t="array" ref="D15">_xlfn.TEXTJOIN(", ", TRUE, _xlfn._xlws.FILTER(E$2:L$2, E15:L15&lt;&gt;""))</f>
        <v>Puffer fish, Turtle shell</v>
      </c>
      <c r="I15" s="1">
        <v>1</v>
      </c>
      <c r="J15" s="1">
        <v>1</v>
      </c>
      <c r="M15">
        <v>150</v>
      </c>
    </row>
    <row r="16" spans="2:13" x14ac:dyDescent="0.25">
      <c r="B16" t="s">
        <v>53</v>
      </c>
      <c r="C16" t="s">
        <v>54</v>
      </c>
      <c r="D16" t="str" cm="1">
        <f t="array" ref="D16">_xlfn.TEXTJOIN(", ", TRUE, _xlfn._xlws.FILTER(E$2:L$2, E16:L16&lt;&gt;""))</f>
        <v>Amanita mushroom , Venom gland</v>
      </c>
      <c r="E16" s="1">
        <v>1</v>
      </c>
      <c r="K16" s="1">
        <v>1</v>
      </c>
      <c r="M16">
        <v>75</v>
      </c>
    </row>
    <row r="17" spans="2:13" x14ac:dyDescent="0.25">
      <c r="B17" t="s">
        <v>55</v>
      </c>
      <c r="C17" t="s">
        <v>56</v>
      </c>
      <c r="D17" t="str" cm="1">
        <f t="array" ref="D17">_xlfn.TEXTJOIN(", ", TRUE, _xlfn._xlws.FILTER(E$2:L$2, E17:L17&lt;&gt;""))</f>
        <v>Amanita mushroom , Turtle shell</v>
      </c>
      <c r="E17" s="1">
        <v>1</v>
      </c>
      <c r="J17" s="1">
        <v>1</v>
      </c>
      <c r="M17">
        <v>105</v>
      </c>
    </row>
    <row r="18" spans="2:13" x14ac:dyDescent="0.25">
      <c r="B18" t="s">
        <v>67</v>
      </c>
      <c r="C18"/>
      <c r="D18"/>
      <c r="E18" s="1">
        <f>SUBTOTAL(109,Tbl_Potions[Amanita mushroom ])</f>
        <v>4</v>
      </c>
      <c r="F18" s="1">
        <f>SUBTOTAL(109,Tbl_Potions[Bear liver])</f>
        <v>4</v>
      </c>
      <c r="H18" s="1">
        <f>SUBTOTAL(109,Tbl_Potions[Hound claw])</f>
        <v>2</v>
      </c>
      <c r="I18" s="1">
        <f>SUBTOTAL(109,Tbl_Potions[Puffer fish])</f>
        <v>4</v>
      </c>
      <c r="J18" s="1">
        <f>SUBTOTAL(109,Tbl_Potions[Turtle shell])</f>
        <v>5</v>
      </c>
      <c r="K18" s="1">
        <f>SUBTOTAL(109,Tbl_Potions[Venom gland])</f>
        <v>5</v>
      </c>
      <c r="L18" s="1">
        <f>SUBTOTAL(109,Tbl_Potions[Wolf fang])</f>
        <v>4</v>
      </c>
      <c r="M18"/>
    </row>
  </sheetData>
  <pageMargins left="0.7" right="0.7" top="0.75" bottom="0.75" header="0.3" footer="0.3"/>
  <ignoredErrors>
    <ignoredError sqref="D3:D4" formulaRange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Recipes</vt:lpstr>
      <vt:lpstr>Potions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Grindstaff, Chelsea</dc:creator>
  <cp:lastModifiedBy>Grindstaff, Chelsea</cp:lastModifiedBy>
  <dcterms:created xsi:type="dcterms:W3CDTF">2025-01-29T14:01:13Z</dcterms:created>
  <dcterms:modified xsi:type="dcterms:W3CDTF">2025-01-29T22:32:55Z</dcterms:modified>
</cp:coreProperties>
</file>